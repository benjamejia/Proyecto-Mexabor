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2.xml" ContentType="application/vnd.ms-excel.person+xml"/>
  <Override PartName="/xl/persons/person11.xml" ContentType="application/vnd.ms-excel.person+xml"/>
  <Override PartName="/xl/persons/person22.xml" ContentType="application/vnd.ms-excel.person+xml"/>
  <Override PartName="/xl/persons/person7.xml" ContentType="application/vnd.ms-excel.person+xml"/>
  <Override PartName="/xl/persons/person16.xml" ContentType="application/vnd.ms-excel.person+xml"/>
  <Override PartName="/xl/persons/person26.xml" ContentType="application/vnd.ms-excel.person+xml"/>
  <Override PartName="/xl/persons/person29.xml" ContentType="application/vnd.ms-excel.person+xml"/>
  <Override PartName="/xl/persons/person34.xml" ContentType="application/vnd.ms-excel.person+xml"/>
  <Override PartName="/xl/persons/person38.xml" ContentType="application/vnd.ms-excel.person+xml"/>
  <Override PartName="/xl/persons/person10.xml" ContentType="application/vnd.ms-excel.person+xml"/>
  <Override PartName="/xl/persons/person1.xml" ContentType="application/vnd.ms-excel.person+xml"/>
  <Override PartName="/xl/persons/person14.xml" ContentType="application/vnd.ms-excel.person+xml"/>
  <Override PartName="/xl/persons/person19.xml" ContentType="application/vnd.ms-excel.person+xml"/>
  <Override PartName="/xl/persons/person23.xml" ContentType="application/vnd.ms-excel.person+xml"/>
  <Override PartName="/xl/persons/person27.xml" ContentType="application/vnd.ms-excel.person+xml"/>
  <Override PartName="/xl/persons/person37.xml" ContentType="application/vnd.ms-excel.person+xml"/>
  <Override PartName="/xl/persons/person32.xml" ContentType="application/vnd.ms-excel.person+xml"/>
  <Override PartName="/xl/persons/person5.xml" ContentType="application/vnd.ms-excel.person+xml"/>
  <Override PartName="/xl/persons/person.xml" ContentType="application/vnd.ms-excel.person+xml"/>
  <Override PartName="/xl/persons/person40.xml" ContentType="application/vnd.ms-excel.person+xml"/>
  <Override PartName="/xl/persons/person33.xml" ContentType="application/vnd.ms-excel.person+xml"/>
  <Override PartName="/xl/persons/person28.xml" ContentType="application/vnd.ms-excel.person+xml"/>
  <Override PartName="/xl/persons/person20.xml" ContentType="application/vnd.ms-excel.person+xml"/>
  <Override PartName="/xl/persons/person15.xml" ContentType="application/vnd.ms-excel.person+xml"/>
  <Override PartName="/xl/persons/person4.xml" ContentType="application/vnd.ms-excel.person+xml"/>
  <Override PartName="/xl/persons/person6.xml" ContentType="application/vnd.ms-excel.person+xml"/>
  <Override PartName="/xl/persons/person36.xml" ContentType="application/vnd.ms-excel.person+xml"/>
  <Override PartName="/xl/persons/person43.xml" ContentType="application/vnd.ms-excel.person+xml"/>
  <Override PartName="/xl/persons/person31.xml" ContentType="application/vnd.ms-excel.person+xml"/>
  <Override PartName="/xl/persons/person12.xml" ContentType="application/vnd.ms-excel.person+xml"/>
  <Override PartName="/xl/persons/person9.xml" ContentType="application/vnd.ms-excel.person+xml"/>
  <Override PartName="/xl/persons/person17.xml" ContentType="application/vnd.ms-excel.person+xml"/>
  <Override PartName="/xl/persons/person21.xml" ContentType="application/vnd.ms-excel.person+xml"/>
  <Override PartName="/xl/persons/person39.xml" ContentType="application/vnd.ms-excel.person+xml"/>
  <Override PartName="/xl/persons/person3.xml" ContentType="application/vnd.ms-excel.person+xml"/>
  <Override PartName="/xl/persons/person24.xml" ContentType="application/vnd.ms-excel.person+xml"/>
  <Override PartName="/xl/persons/person42.xml" ContentType="application/vnd.ms-excel.person+xml"/>
  <Override PartName="/xl/persons/person41.xml" ContentType="application/vnd.ms-excel.person+xml"/>
  <Override PartName="/xl/persons/person0.xml" ContentType="application/vnd.ms-excel.person+xml"/>
  <Override PartName="/xl/persons/person8.xml" ContentType="application/vnd.ms-excel.person+xml"/>
  <Override PartName="/xl/persons/person18.xml" ContentType="application/vnd.ms-excel.person+xml"/>
  <Override PartName="/xl/persons/person30.xml" ContentType="application/vnd.ms-excel.person+xml"/>
  <Override PartName="/xl/persons/person13.xml" ContentType="application/vnd.ms-excel.person+xml"/>
  <Override PartName="/xl/persons/person25.xml" ContentType="application/vnd.ms-excel.person+xml"/>
  <Override PartName="/xl/persons/person35.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codeName="ThisWorkbook" defaultThemeVersion="166925"/>
  <mc:AlternateContent xmlns:mc="http://schemas.openxmlformats.org/markup-compatibility/2006">
    <mc:Choice Requires="x15">
      <x15ac:absPath xmlns:x15ac="http://schemas.microsoft.com/office/spreadsheetml/2010/11/ac" url="C:\Users\almac\OneDrive\Escritorio\Control y calidad\"/>
    </mc:Choice>
  </mc:AlternateContent>
  <xr:revisionPtr revIDLastSave="0" documentId="13_ncr:1_{36544528-9894-4C77-8E1C-B604025488DC}" xr6:coauthVersionLast="47" xr6:coauthVersionMax="47" xr10:uidLastSave="{00000000-0000-0000-0000-000000000000}"/>
  <bookViews>
    <workbookView xWindow="-120" yWindow="-120" windowWidth="20640" windowHeight="11160" activeTab="3" xr2:uid="{695E7DF1-C733-4BDB-9483-8F5A7F275D8B}"/>
  </bookViews>
  <sheets>
    <sheet name="Tonalá modi 2.0 " sheetId="30" r:id="rId1"/>
    <sheet name="Chapalita modi 2.0" sheetId="29" r:id="rId2"/>
    <sheet name="Loma modi 2.0" sheetId="28" r:id="rId3"/>
    <sheet name="Patria Modi" sheetId="27" r:id="rId4"/>
    <sheet name="Almacén A" sheetId="23" r:id="rId5"/>
    <sheet name="Muestrario" sheetId="17" r:id="rId6"/>
    <sheet name="Tonalá" sheetId="16" state="hidden" r:id="rId7"/>
    <sheet name="Chapalita" sheetId="18" state="hidden" r:id="rId8"/>
    <sheet name="Patria" sheetId="15" state="hidden" r:id="rId9"/>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9" i="27" l="1"/>
  <c r="AP51" i="27"/>
  <c r="AP50" i="27"/>
  <c r="AP58" i="27"/>
  <c r="AP57" i="27"/>
  <c r="AP56" i="27"/>
  <c r="AR42" i="27"/>
  <c r="AL33" i="27"/>
  <c r="S85" i="27"/>
  <c r="S81" i="27"/>
  <c r="AQ42" i="27"/>
  <c r="AQ40" i="27"/>
  <c r="F12" i="27" l="1"/>
  <c r="G7" i="23"/>
  <c r="D31" i="23"/>
  <c r="D25" i="23"/>
  <c r="F12" i="29" l="1"/>
  <c r="F12" i="30" l="1"/>
  <c r="R2" i="30"/>
  <c r="AR48" i="27"/>
  <c r="AP54" i="27"/>
  <c r="F12" i="28"/>
  <c r="D32" i="23"/>
  <c r="D29" i="23"/>
  <c r="D27" i="23"/>
  <c r="AR59" i="27"/>
  <c r="AQ47" i="27"/>
  <c r="E44" i="30" l="1"/>
  <c r="E41" i="30"/>
  <c r="C50" i="27"/>
  <c r="AR51" i="27"/>
  <c r="S67" i="30"/>
  <c r="S67" i="28" l="1"/>
  <c r="AI33" i="27"/>
  <c r="D13" i="23"/>
  <c r="AR50" i="27"/>
  <c r="AR49" i="27"/>
  <c r="AR58" i="27"/>
  <c r="AR57" i="27"/>
  <c r="AR56" i="27"/>
  <c r="AP43" i="27"/>
  <c r="BF6" i="27"/>
  <c r="BF5" i="27"/>
  <c r="AE15" i="29" l="1"/>
  <c r="AF20" i="28"/>
  <c r="AF14" i="28"/>
  <c r="AF15" i="28"/>
  <c r="AF16" i="28"/>
  <c r="AF17" i="28"/>
  <c r="AF18" i="28"/>
  <c r="AF19" i="28"/>
  <c r="AF21" i="28"/>
  <c r="AP45" i="27" l="1"/>
  <c r="AR45" i="27" s="1"/>
  <c r="AP48" i="27"/>
  <c r="AP52" i="27"/>
  <c r="AR52" i="27" s="1"/>
  <c r="AP46" i="27"/>
  <c r="AR46" i="27" s="1"/>
  <c r="AP44" i="27"/>
  <c r="AR44" i="27" s="1"/>
  <c r="AP39" i="27"/>
  <c r="AR53" i="27" l="1"/>
  <c r="AP41" i="27" l="1"/>
  <c r="AP55" i="27"/>
  <c r="AR55" i="27" s="1"/>
  <c r="AP47" i="27"/>
  <c r="AR47" i="27" s="1"/>
  <c r="AI22" i="28"/>
  <c r="R2" i="28" s="1"/>
  <c r="AH23" i="29"/>
  <c r="R2" i="29" s="1"/>
  <c r="N69" i="27" l="1"/>
  <c r="BF12" i="27"/>
  <c r="BF11" i="27"/>
  <c r="BF10" i="27"/>
  <c r="BF9" i="27"/>
  <c r="BF8" i="27"/>
  <c r="BF7" i="27"/>
  <c r="N71" i="27"/>
  <c r="BI13" i="27"/>
  <c r="AE22" i="29"/>
  <c r="AE21" i="29"/>
  <c r="AE20" i="29"/>
  <c r="AE19" i="29"/>
  <c r="AE18" i="29"/>
  <c r="AE17" i="29"/>
  <c r="AE16" i="29"/>
  <c r="R2" i="27" l="1"/>
  <c r="J7" i="27" s="1"/>
  <c r="N70" i="29"/>
  <c r="K91" i="29"/>
  <c r="R84" i="27"/>
  <c r="AJ32" i="27" l="1"/>
  <c r="AH32" i="27" l="1"/>
  <c r="AL32" i="27" s="1"/>
  <c r="AP40" i="27" l="1"/>
  <c r="AR40" i="27" s="1"/>
  <c r="O71" i="27" l="1"/>
  <c r="D18" i="27" s="1"/>
  <c r="AH33" i="27" l="1"/>
  <c r="W73" i="27" l="1"/>
  <c r="D50" i="27" l="1"/>
  <c r="N96" i="29"/>
  <c r="N92" i="29"/>
  <c r="N90" i="29"/>
  <c r="N89" i="29"/>
  <c r="N88" i="29"/>
  <c r="N85" i="29"/>
  <c r="N84" i="29"/>
  <c r="N80" i="29"/>
  <c r="N81" i="29"/>
  <c r="N78" i="29"/>
  <c r="N77" i="29"/>
  <c r="N76" i="29"/>
  <c r="N74" i="29"/>
  <c r="O74" i="29" s="1"/>
  <c r="N73" i="29"/>
  <c r="N72" i="29"/>
  <c r="N69" i="29"/>
  <c r="N68" i="29"/>
  <c r="N64" i="29"/>
  <c r="N65" i="29"/>
  <c r="O65" i="29"/>
  <c r="O64" i="29"/>
  <c r="S64" i="30" l="1"/>
  <c r="O84" i="29"/>
  <c r="C26" i="29"/>
  <c r="AR54" i="27"/>
  <c r="AR39" i="27"/>
  <c r="AP38" i="27"/>
  <c r="AR38" i="27" s="1"/>
  <c r="G103" i="28" l="1"/>
  <c r="W73" i="30" l="1"/>
  <c r="N39" i="30"/>
  <c r="AK33" i="27" l="1"/>
  <c r="C67" i="29" l="1"/>
  <c r="S64" i="29" l="1"/>
  <c r="S64" i="28" l="1"/>
  <c r="S93" i="27" l="1"/>
  <c r="S67" i="29" l="1"/>
  <c r="E41" i="29" s="1"/>
  <c r="C103" i="29"/>
  <c r="AR43" i="27" l="1"/>
  <c r="AE21" i="30" l="1"/>
  <c r="AE20" i="30"/>
  <c r="AE19" i="30"/>
  <c r="AE18" i="30"/>
  <c r="AF18" i="30" s="1"/>
  <c r="AE16" i="30"/>
  <c r="AF16" i="30" s="1"/>
  <c r="AE17" i="30"/>
  <c r="AF17" i="30" s="1"/>
  <c r="AE15" i="30"/>
  <c r="AF15" i="30" s="1"/>
  <c r="AE14" i="30"/>
  <c r="AF14" i="30" s="1"/>
  <c r="AF19" i="30" l="1"/>
  <c r="K91" i="27"/>
  <c r="R80" i="27"/>
  <c r="R88" i="27"/>
  <c r="N105" i="30"/>
  <c r="O105" i="30" s="1"/>
  <c r="N104" i="30"/>
  <c r="O104" i="30" s="1"/>
  <c r="G103" i="30"/>
  <c r="C103" i="30"/>
  <c r="N101" i="30"/>
  <c r="O101" i="30" s="1"/>
  <c r="N100" i="30"/>
  <c r="O100" i="30" s="1"/>
  <c r="G99" i="30"/>
  <c r="C99" i="30"/>
  <c r="N97" i="30"/>
  <c r="O97" i="30" s="1"/>
  <c r="N96" i="30"/>
  <c r="O96" i="30" s="1"/>
  <c r="G95" i="30"/>
  <c r="C95" i="30"/>
  <c r="N93" i="30"/>
  <c r="O93" i="30" s="1"/>
  <c r="N92" i="30"/>
  <c r="O92" i="30" s="1"/>
  <c r="S91" i="30"/>
  <c r="R91" i="30"/>
  <c r="R92" i="30" s="1"/>
  <c r="G91" i="30"/>
  <c r="C91" i="30"/>
  <c r="N90" i="30"/>
  <c r="O90" i="30" s="1"/>
  <c r="N89" i="30"/>
  <c r="O89" i="30" s="1"/>
  <c r="N88" i="30"/>
  <c r="O88" i="30" s="1"/>
  <c r="R87" i="30"/>
  <c r="R88" i="30" s="1"/>
  <c r="K87" i="30"/>
  <c r="G87" i="30"/>
  <c r="C87" i="30"/>
  <c r="N86" i="30"/>
  <c r="O86" i="30" s="1"/>
  <c r="N85" i="30"/>
  <c r="O85" i="30" s="1"/>
  <c r="N84" i="30"/>
  <c r="O84" i="30" s="1"/>
  <c r="R83" i="30"/>
  <c r="R84" i="30" s="1"/>
  <c r="K83" i="30"/>
  <c r="G83" i="30"/>
  <c r="C83" i="30"/>
  <c r="N82" i="30"/>
  <c r="O82" i="30" s="1"/>
  <c r="N81" i="30"/>
  <c r="O81" i="30" s="1"/>
  <c r="N80" i="30"/>
  <c r="O80" i="30" s="1"/>
  <c r="R79" i="30"/>
  <c r="R80" i="30" s="1"/>
  <c r="K79" i="30"/>
  <c r="G79" i="30"/>
  <c r="C79" i="30"/>
  <c r="N78" i="30"/>
  <c r="O78" i="30" s="1"/>
  <c r="N77" i="30"/>
  <c r="O77" i="30" s="1"/>
  <c r="N76" i="30"/>
  <c r="O76" i="30" s="1"/>
  <c r="K75" i="30"/>
  <c r="G75" i="30"/>
  <c r="C75" i="30"/>
  <c r="N74" i="30"/>
  <c r="O74" i="30" s="1"/>
  <c r="AH22" i="30"/>
  <c r="J7" i="30" s="1"/>
  <c r="N73" i="30"/>
  <c r="O73" i="30" s="1"/>
  <c r="N72" i="30"/>
  <c r="O72" i="30" s="1"/>
  <c r="K71" i="30"/>
  <c r="G71" i="30"/>
  <c r="S83" i="30" s="1"/>
  <c r="S84" i="30" s="1"/>
  <c r="C71" i="30"/>
  <c r="W70" i="30"/>
  <c r="N70" i="30"/>
  <c r="O70" i="30" s="1"/>
  <c r="N69" i="30"/>
  <c r="O69" i="30" s="1"/>
  <c r="N68" i="30"/>
  <c r="O68" i="30" s="1"/>
  <c r="W67" i="30"/>
  <c r="K67" i="30"/>
  <c r="G67" i="30"/>
  <c r="C67" i="30"/>
  <c r="N65" i="30"/>
  <c r="O65" i="30" s="1"/>
  <c r="W64" i="30"/>
  <c r="N64" i="30"/>
  <c r="O64" i="30" s="1"/>
  <c r="G63" i="30"/>
  <c r="S79" i="30" s="1"/>
  <c r="S80" i="30" s="1"/>
  <c r="C63" i="30"/>
  <c r="C36" i="30"/>
  <c r="B36" i="30"/>
  <c r="E36" i="30" s="1"/>
  <c r="C34" i="30"/>
  <c r="B34" i="30"/>
  <c r="E34" i="30" s="1"/>
  <c r="C32" i="30"/>
  <c r="B32" i="30"/>
  <c r="E32" i="30" s="1"/>
  <c r="C30" i="30"/>
  <c r="B30" i="30"/>
  <c r="E30" i="30" s="1"/>
  <c r="D28" i="30"/>
  <c r="C28" i="30"/>
  <c r="B28" i="30"/>
  <c r="E28" i="30" s="1"/>
  <c r="D26" i="30"/>
  <c r="C26" i="30"/>
  <c r="B26" i="30"/>
  <c r="E26" i="30" s="1"/>
  <c r="D24" i="30"/>
  <c r="C24" i="30"/>
  <c r="B24" i="30"/>
  <c r="E24" i="30" s="1"/>
  <c r="D22" i="30"/>
  <c r="C22" i="30"/>
  <c r="B22" i="30"/>
  <c r="E22" i="30" s="1"/>
  <c r="D20" i="30"/>
  <c r="C20" i="30"/>
  <c r="B20" i="30"/>
  <c r="E20" i="30" s="1"/>
  <c r="D18" i="30"/>
  <c r="D38" i="30" s="1"/>
  <c r="C18" i="30"/>
  <c r="B18" i="30"/>
  <c r="C16" i="30"/>
  <c r="B16" i="30"/>
  <c r="C38" i="30" l="1"/>
  <c r="E18" i="30"/>
  <c r="B38" i="30"/>
  <c r="E16" i="30"/>
  <c r="S87" i="30"/>
  <c r="S88" i="30" s="1"/>
  <c r="S92" i="30"/>
  <c r="E44" i="29" l="1"/>
  <c r="N105" i="29"/>
  <c r="O105" i="29" s="1"/>
  <c r="N104" i="29"/>
  <c r="O104" i="29" s="1"/>
  <c r="G103" i="29"/>
  <c r="N101" i="29"/>
  <c r="O101" i="29" s="1"/>
  <c r="N100" i="29"/>
  <c r="O100" i="29" s="1"/>
  <c r="G99" i="29"/>
  <c r="C99" i="29"/>
  <c r="N97" i="29"/>
  <c r="O97" i="29" s="1"/>
  <c r="O96" i="29"/>
  <c r="G95" i="29"/>
  <c r="C95" i="29"/>
  <c r="N93" i="29"/>
  <c r="O93" i="29" s="1"/>
  <c r="O92" i="29"/>
  <c r="S91" i="29"/>
  <c r="R91" i="29"/>
  <c r="R92" i="29" s="1"/>
  <c r="G91" i="29"/>
  <c r="C91" i="29"/>
  <c r="O90" i="29"/>
  <c r="O89" i="29"/>
  <c r="O88" i="29"/>
  <c r="R87" i="29"/>
  <c r="R88" i="29" s="1"/>
  <c r="K87" i="29"/>
  <c r="G87" i="29"/>
  <c r="C87" i="29"/>
  <c r="N86" i="29"/>
  <c r="O86" i="29" s="1"/>
  <c r="O85" i="29"/>
  <c r="R83" i="29"/>
  <c r="R84" i="29" s="1"/>
  <c r="K83" i="29"/>
  <c r="G83" i="29"/>
  <c r="C83" i="29"/>
  <c r="N82" i="29"/>
  <c r="O82" i="29" s="1"/>
  <c r="O81" i="29"/>
  <c r="O80" i="29"/>
  <c r="C24" i="29" s="1"/>
  <c r="R79" i="29"/>
  <c r="R80" i="29" s="1"/>
  <c r="K79" i="29"/>
  <c r="G79" i="29"/>
  <c r="C79" i="29"/>
  <c r="O78" i="29"/>
  <c r="O77" i="29"/>
  <c r="O76" i="29"/>
  <c r="K75" i="29"/>
  <c r="G75" i="29"/>
  <c r="C75" i="29"/>
  <c r="W73" i="29"/>
  <c r="O73" i="29"/>
  <c r="O72" i="29"/>
  <c r="K71" i="29"/>
  <c r="G71" i="29"/>
  <c r="S83" i="29" s="1"/>
  <c r="S84" i="29" s="1"/>
  <c r="C71" i="29"/>
  <c r="W70" i="29"/>
  <c r="O70" i="29"/>
  <c r="D18" i="29" s="1"/>
  <c r="O69" i="29"/>
  <c r="O68" i="29"/>
  <c r="W67" i="29"/>
  <c r="K67" i="29"/>
  <c r="G67" i="29"/>
  <c r="W64" i="29"/>
  <c r="C16" i="29"/>
  <c r="G63" i="29"/>
  <c r="S79" i="29" s="1"/>
  <c r="S80" i="29" s="1"/>
  <c r="C63" i="29"/>
  <c r="N39" i="29"/>
  <c r="C36" i="29"/>
  <c r="B36" i="29"/>
  <c r="E36" i="29" s="1"/>
  <c r="C34" i="29"/>
  <c r="B34" i="29"/>
  <c r="E34" i="29" s="1"/>
  <c r="C32" i="29"/>
  <c r="B32" i="29"/>
  <c r="E32" i="29" s="1"/>
  <c r="C30" i="29"/>
  <c r="B30" i="29"/>
  <c r="E30" i="29" s="1"/>
  <c r="D28" i="29"/>
  <c r="C28" i="29"/>
  <c r="B28" i="29"/>
  <c r="E28" i="29" s="1"/>
  <c r="D26" i="29"/>
  <c r="B26" i="29"/>
  <c r="E26" i="29" s="1"/>
  <c r="D24" i="29"/>
  <c r="B24" i="29"/>
  <c r="E24" i="29" s="1"/>
  <c r="D22" i="29"/>
  <c r="C22" i="29"/>
  <c r="B22" i="29"/>
  <c r="E22" i="29" s="1"/>
  <c r="D20" i="29"/>
  <c r="C20" i="29"/>
  <c r="B20" i="29"/>
  <c r="E20" i="29" s="1"/>
  <c r="D38" i="29"/>
  <c r="C18" i="29"/>
  <c r="B18" i="29"/>
  <c r="E18" i="29" s="1"/>
  <c r="B16" i="29"/>
  <c r="E16" i="29" s="1"/>
  <c r="C38" i="29" l="1"/>
  <c r="B38" i="29"/>
  <c r="J7" i="29"/>
  <c r="S87" i="29"/>
  <c r="S88" i="29" s="1"/>
  <c r="S92" i="29"/>
  <c r="N39" i="28"/>
  <c r="N105" i="28"/>
  <c r="O105" i="28" s="1"/>
  <c r="N104" i="28"/>
  <c r="O104" i="28" s="1"/>
  <c r="C103" i="28"/>
  <c r="N101" i="28"/>
  <c r="O101" i="28" s="1"/>
  <c r="N100" i="28"/>
  <c r="O100" i="28" s="1"/>
  <c r="G99" i="28"/>
  <c r="C99" i="28"/>
  <c r="N97" i="28"/>
  <c r="O97" i="28" s="1"/>
  <c r="N96" i="28"/>
  <c r="O96" i="28" s="1"/>
  <c r="G95" i="28"/>
  <c r="C95" i="28"/>
  <c r="N93" i="28"/>
  <c r="O93" i="28" s="1"/>
  <c r="N92" i="28"/>
  <c r="O92" i="28" s="1"/>
  <c r="S91" i="28"/>
  <c r="R91" i="28"/>
  <c r="R92" i="28" s="1"/>
  <c r="G91" i="28"/>
  <c r="C91" i="28"/>
  <c r="N90" i="28"/>
  <c r="O90" i="28" s="1"/>
  <c r="N89" i="28"/>
  <c r="O89" i="28" s="1"/>
  <c r="N88" i="28"/>
  <c r="O88" i="28" s="1"/>
  <c r="R87" i="28"/>
  <c r="R88" i="28" s="1"/>
  <c r="K87" i="28"/>
  <c r="G87" i="28"/>
  <c r="C87" i="28"/>
  <c r="N86" i="28"/>
  <c r="O86" i="28" s="1"/>
  <c r="N85" i="28"/>
  <c r="O85" i="28" s="1"/>
  <c r="N84" i="28"/>
  <c r="O84" i="28" s="1"/>
  <c r="R83" i="28"/>
  <c r="R84" i="28" s="1"/>
  <c r="K83" i="28"/>
  <c r="G83" i="28"/>
  <c r="C83" i="28"/>
  <c r="N82" i="28"/>
  <c r="O82" i="28" s="1"/>
  <c r="N81" i="28"/>
  <c r="O81" i="28" s="1"/>
  <c r="N80" i="28"/>
  <c r="O80" i="28" s="1"/>
  <c r="R79" i="28"/>
  <c r="R80" i="28" s="1"/>
  <c r="K79" i="28"/>
  <c r="G79" i="28"/>
  <c r="C79" i="28"/>
  <c r="N78" i="28"/>
  <c r="O78" i="28" s="1"/>
  <c r="N77" i="28"/>
  <c r="O77" i="28" s="1"/>
  <c r="N76" i="28"/>
  <c r="O76" i="28" s="1"/>
  <c r="K75" i="28"/>
  <c r="G75" i="28"/>
  <c r="C75" i="28"/>
  <c r="N74" i="28"/>
  <c r="O74" i="28" s="1"/>
  <c r="W73" i="28"/>
  <c r="J7" i="28" s="1"/>
  <c r="N73" i="28"/>
  <c r="O73" i="28" s="1"/>
  <c r="N72" i="28"/>
  <c r="O72" i="28" s="1"/>
  <c r="K71" i="28"/>
  <c r="G71" i="28"/>
  <c r="S83" i="28" s="1"/>
  <c r="S84" i="28" s="1"/>
  <c r="C71" i="28"/>
  <c r="W70" i="28"/>
  <c r="N70" i="28"/>
  <c r="O70" i="28" s="1"/>
  <c r="N69" i="28"/>
  <c r="O69" i="28" s="1"/>
  <c r="N68" i="28"/>
  <c r="O68" i="28" s="1"/>
  <c r="W67" i="28"/>
  <c r="K67" i="28"/>
  <c r="G67" i="28"/>
  <c r="C67" i="28"/>
  <c r="N65" i="28"/>
  <c r="O65" i="28" s="1"/>
  <c r="W64" i="28"/>
  <c r="N64" i="28"/>
  <c r="O64" i="28" s="1"/>
  <c r="G63" i="28"/>
  <c r="S79" i="28" s="1"/>
  <c r="S80" i="28" s="1"/>
  <c r="C63" i="28"/>
  <c r="E44" i="28"/>
  <c r="E41" i="28"/>
  <c r="C36" i="28"/>
  <c r="B36" i="28"/>
  <c r="E36" i="28" s="1"/>
  <c r="C34" i="28"/>
  <c r="B34" i="28"/>
  <c r="E34" i="28" s="1"/>
  <c r="C32" i="28"/>
  <c r="B32" i="28"/>
  <c r="E32" i="28" s="1"/>
  <c r="C30" i="28"/>
  <c r="B30" i="28"/>
  <c r="E30" i="28" s="1"/>
  <c r="D28" i="28"/>
  <c r="C28" i="28"/>
  <c r="B28" i="28"/>
  <c r="E28" i="28" s="1"/>
  <c r="D26" i="28"/>
  <c r="C26" i="28"/>
  <c r="B26" i="28"/>
  <c r="E26" i="28" s="1"/>
  <c r="D24" i="28"/>
  <c r="C24" i="28"/>
  <c r="B24" i="28"/>
  <c r="E24" i="28" s="1"/>
  <c r="D22" i="28"/>
  <c r="C22" i="28"/>
  <c r="B22" i="28"/>
  <c r="E22" i="28" s="1"/>
  <c r="D20" i="28"/>
  <c r="C20" i="28"/>
  <c r="B20" i="28"/>
  <c r="E20" i="28" s="1"/>
  <c r="D18" i="28"/>
  <c r="C18" i="28"/>
  <c r="B18" i="28"/>
  <c r="C16" i="28"/>
  <c r="B16" i="28"/>
  <c r="C38" i="28" l="1"/>
  <c r="D38" i="28"/>
  <c r="E18" i="28"/>
  <c r="B38" i="28"/>
  <c r="E16" i="28"/>
  <c r="S87" i="28"/>
  <c r="S88" i="28" s="1"/>
  <c r="S92" i="28"/>
  <c r="N89" i="27"/>
  <c r="N85" i="27"/>
  <c r="N83" i="27"/>
  <c r="N82" i="27"/>
  <c r="N81" i="27"/>
  <c r="N79" i="27"/>
  <c r="O79" i="27" s="1"/>
  <c r="D22" i="27" s="1"/>
  <c r="N78" i="27"/>
  <c r="N77" i="27"/>
  <c r="N75" i="27"/>
  <c r="N74" i="27"/>
  <c r="N73" i="27"/>
  <c r="O73" i="27" s="1"/>
  <c r="C20" i="27" s="1"/>
  <c r="O83" i="27"/>
  <c r="D24" i="27" s="1"/>
  <c r="O82" i="27"/>
  <c r="B24" i="27" s="1"/>
  <c r="O81" i="27"/>
  <c r="C24" i="27" s="1"/>
  <c r="O78" i="27"/>
  <c r="B22" i="27" s="1"/>
  <c r="O77" i="27"/>
  <c r="C22" i="27" s="1"/>
  <c r="K79" i="27"/>
  <c r="K75" i="27"/>
  <c r="G79" i="27"/>
  <c r="C79" i="27"/>
  <c r="G75" i="27"/>
  <c r="C75" i="27"/>
  <c r="E24" i="27" l="1"/>
  <c r="AR41" i="27"/>
  <c r="R92" i="27"/>
  <c r="R85" i="27"/>
  <c r="R93" i="27" l="1"/>
  <c r="R89" i="27"/>
  <c r="R81" i="27" l="1"/>
  <c r="G83" i="27" l="1"/>
  <c r="AP42" i="27" l="1"/>
  <c r="Z12" i="27"/>
  <c r="G67" i="27" l="1"/>
  <c r="S65" i="27" l="1"/>
  <c r="S68" i="27"/>
  <c r="Q71" i="27"/>
  <c r="W64" i="27" l="1"/>
  <c r="C71" i="27" l="1"/>
  <c r="G71" i="27"/>
  <c r="K71" i="27"/>
  <c r="O74" i="27"/>
  <c r="B20" i="27" s="1"/>
  <c r="O75" i="27"/>
  <c r="D20" i="27" s="1"/>
  <c r="N106" i="27"/>
  <c r="O106" i="27" s="1"/>
  <c r="B36" i="27" s="1"/>
  <c r="G103" i="27"/>
  <c r="S84" i="27" s="1"/>
  <c r="C103" i="27"/>
  <c r="N105" i="27"/>
  <c r="O105" i="27" s="1"/>
  <c r="C36" i="27" s="1"/>
  <c r="N66" i="27"/>
  <c r="O66" i="27" s="1"/>
  <c r="B16" i="27" s="1"/>
  <c r="G63" i="27"/>
  <c r="C63" i="27"/>
  <c r="N65" i="27"/>
  <c r="O65" i="27" s="1"/>
  <c r="C16" i="27" s="1"/>
  <c r="E16" i="27" s="1"/>
  <c r="N102" i="27"/>
  <c r="O102" i="27" s="1"/>
  <c r="B34" i="27" s="1"/>
  <c r="G99" i="27"/>
  <c r="C99" i="27"/>
  <c r="N101" i="27"/>
  <c r="O101" i="27" s="1"/>
  <c r="C34" i="27" s="1"/>
  <c r="N98" i="27"/>
  <c r="O98" i="27" s="1"/>
  <c r="B32" i="27" s="1"/>
  <c r="G95" i="27"/>
  <c r="C95" i="27"/>
  <c r="N97" i="27"/>
  <c r="O97" i="27" s="1"/>
  <c r="C32" i="27" s="1"/>
  <c r="N94" i="27"/>
  <c r="O94" i="27" s="1"/>
  <c r="B30" i="27" s="1"/>
  <c r="G91" i="27"/>
  <c r="S80" i="27" s="1"/>
  <c r="C91" i="27"/>
  <c r="N93" i="27"/>
  <c r="O93" i="27" s="1"/>
  <c r="C30" i="27" s="1"/>
  <c r="N70" i="27"/>
  <c r="O70" i="27" s="1"/>
  <c r="B18" i="27" s="1"/>
  <c r="K67" i="27"/>
  <c r="C67" i="27"/>
  <c r="O69" i="27"/>
  <c r="C18" i="27" s="1"/>
  <c r="E18" i="27" s="1"/>
  <c r="N91" i="27"/>
  <c r="O91" i="27" s="1"/>
  <c r="D28" i="27" s="1"/>
  <c r="N90" i="27"/>
  <c r="O90" i="27" s="1"/>
  <c r="B28" i="27" s="1"/>
  <c r="K87" i="27"/>
  <c r="G87" i="27"/>
  <c r="C87" i="27"/>
  <c r="O89" i="27"/>
  <c r="C28" i="27" s="1"/>
  <c r="W70" i="27"/>
  <c r="N87" i="27"/>
  <c r="O87" i="27" s="1"/>
  <c r="D26" i="27" s="1"/>
  <c r="N86" i="27"/>
  <c r="O86" i="27" s="1"/>
  <c r="B26" i="27" s="1"/>
  <c r="K83" i="27"/>
  <c r="C83" i="27"/>
  <c r="W67" i="27"/>
  <c r="O85" i="27"/>
  <c r="C26" i="27" s="1"/>
  <c r="E36" i="27"/>
  <c r="E34" i="27"/>
  <c r="E32" i="27"/>
  <c r="E30" i="27"/>
  <c r="T80" i="27" l="1"/>
  <c r="E20" i="27"/>
  <c r="D38" i="27"/>
  <c r="B38" i="27"/>
  <c r="C38" i="27"/>
  <c r="T84" i="27"/>
  <c r="S88" i="27"/>
  <c r="T88" i="27" s="1"/>
  <c r="S92" i="27"/>
  <c r="T92" i="27" s="1"/>
  <c r="E22" i="27"/>
  <c r="E28" i="27"/>
  <c r="E26" i="27"/>
  <c r="S89" i="27"/>
  <c r="K11" i="23" l="1"/>
  <c r="M11" i="23" s="1"/>
  <c r="N11" i="23" s="1"/>
  <c r="K7" i="23"/>
  <c r="M7" i="23" s="1"/>
  <c r="N7" i="23" s="1"/>
  <c r="K3" i="23"/>
  <c r="M3" i="23" s="1"/>
  <c r="N3" i="23" s="1"/>
  <c r="N14" i="23" l="1"/>
  <c r="P113" i="17" l="1"/>
  <c r="P116" i="17"/>
  <c r="C111" i="17" s="1"/>
  <c r="F113" i="17"/>
  <c r="P99" i="17"/>
  <c r="C104" i="17"/>
  <c r="P85" i="17"/>
  <c r="K96" i="17" s="1"/>
  <c r="D62" i="17"/>
  <c r="AA21" i="17"/>
  <c r="AB21" i="17"/>
  <c r="C30" i="17" s="1"/>
  <c r="P22" i="17"/>
  <c r="T22" i="17"/>
  <c r="AA22" i="17"/>
  <c r="AB22" i="17"/>
  <c r="B30" i="17" s="1"/>
  <c r="AA25" i="17"/>
  <c r="AB25" i="17"/>
  <c r="C32" i="17" s="1"/>
  <c r="P26" i="17"/>
  <c r="T26" i="17"/>
  <c r="AA26" i="17"/>
  <c r="AB26" i="17"/>
  <c r="B32" i="17" s="1"/>
  <c r="E30" i="17"/>
  <c r="AA30" i="17"/>
  <c r="AB30" i="17"/>
  <c r="C34" i="17" s="1"/>
  <c r="P31" i="17"/>
  <c r="T31" i="17"/>
  <c r="AA31" i="17"/>
  <c r="AB31" i="17"/>
  <c r="B34" i="17" s="1"/>
  <c r="E32" i="17"/>
  <c r="E34" i="17"/>
  <c r="AA34" i="17"/>
  <c r="AB34" i="17"/>
  <c r="C36" i="17" s="1"/>
  <c r="P35" i="17"/>
  <c r="T35" i="17"/>
  <c r="AA35" i="17"/>
  <c r="AB35" i="17"/>
  <c r="B36" i="17" s="1"/>
  <c r="E36" i="17"/>
  <c r="AA38" i="17"/>
  <c r="AB38" i="17"/>
  <c r="C38" i="17" s="1"/>
  <c r="P39" i="17"/>
  <c r="T39" i="17"/>
  <c r="AA39" i="17"/>
  <c r="AB39" i="17"/>
  <c r="P110" i="17"/>
  <c r="N45" i="17"/>
  <c r="I71" i="18"/>
  <c r="V43" i="15"/>
  <c r="Z43" i="18"/>
  <c r="V43" i="18"/>
  <c r="Z43" i="16"/>
  <c r="V43" i="16"/>
  <c r="AC32" i="18"/>
  <c r="AD32" i="18" s="1"/>
  <c r="AC31" i="18"/>
  <c r="AD31" i="18" s="1"/>
  <c r="AC28" i="18"/>
  <c r="AD28" i="18" s="1"/>
  <c r="AC27" i="18"/>
  <c r="AD27" i="18" s="1"/>
  <c r="AC23" i="18"/>
  <c r="AD23" i="18" s="1"/>
  <c r="AC22" i="18"/>
  <c r="AD22" i="18" s="1"/>
  <c r="AC19" i="18"/>
  <c r="AD19" i="18" s="1"/>
  <c r="AC18" i="18"/>
  <c r="AD18" i="18" s="1"/>
  <c r="AC16" i="18"/>
  <c r="AD16" i="18" s="1"/>
  <c r="AC15" i="18"/>
  <c r="AD15" i="18" s="1"/>
  <c r="AC14" i="18"/>
  <c r="AD14" i="18" s="1"/>
  <c r="AC12" i="18"/>
  <c r="AD12" i="18" s="1"/>
  <c r="AC11" i="18"/>
  <c r="AD11" i="18" s="1"/>
  <c r="AC10" i="18"/>
  <c r="AD10" i="18" s="1"/>
  <c r="AC8" i="18"/>
  <c r="AD8" i="18" s="1"/>
  <c r="AC7" i="18"/>
  <c r="AD7" i="18" s="1"/>
  <c r="AC6" i="18"/>
  <c r="AD6" i="18" s="1"/>
  <c r="AC4" i="18"/>
  <c r="AD4" i="18" s="1"/>
  <c r="AC3" i="18"/>
  <c r="AD3" i="18" s="1"/>
  <c r="AC2" i="18"/>
  <c r="AD2" i="18" s="1"/>
  <c r="AC32" i="16"/>
  <c r="AD32" i="16" s="1"/>
  <c r="AC31" i="16"/>
  <c r="AD31" i="16" s="1"/>
  <c r="AC28" i="16"/>
  <c r="AD28" i="16" s="1"/>
  <c r="AC27" i="16"/>
  <c r="AD27" i="16" s="1"/>
  <c r="AC23" i="16"/>
  <c r="AD23" i="16" s="1"/>
  <c r="AC22" i="16"/>
  <c r="AD22" i="16" s="1"/>
  <c r="AC19" i="16"/>
  <c r="AD19" i="16" s="1"/>
  <c r="AC18" i="16"/>
  <c r="AD18" i="16" s="1"/>
  <c r="AC16" i="16"/>
  <c r="AD16" i="16" s="1"/>
  <c r="AC15" i="16"/>
  <c r="AD15" i="16" s="1"/>
  <c r="AC14" i="16"/>
  <c r="AD14" i="16" s="1"/>
  <c r="AC12" i="16"/>
  <c r="AD12" i="16" s="1"/>
  <c r="AC11" i="16"/>
  <c r="AD11" i="16" s="1"/>
  <c r="AC10" i="16"/>
  <c r="AD10" i="16" s="1"/>
  <c r="AC8" i="16"/>
  <c r="AD8" i="16" s="1"/>
  <c r="AC7" i="16"/>
  <c r="AD7" i="16" s="1"/>
  <c r="AC6" i="16"/>
  <c r="AD6" i="16" s="1"/>
  <c r="AC4" i="16"/>
  <c r="AD4" i="16" s="1"/>
  <c r="AC3" i="16"/>
  <c r="AD3" i="16" s="1"/>
  <c r="AC2" i="16"/>
  <c r="AD2" i="16" s="1"/>
  <c r="AA16" i="17"/>
  <c r="AB16" i="17" s="1"/>
  <c r="D28" i="17" s="1"/>
  <c r="AA15" i="17"/>
  <c r="AB15" i="17" s="1"/>
  <c r="B28" i="17" s="1"/>
  <c r="AA14" i="17"/>
  <c r="AB14" i="17" s="1"/>
  <c r="C28" i="17" s="1"/>
  <c r="AA12" i="17"/>
  <c r="AB12" i="17" s="1"/>
  <c r="D26" i="17" s="1"/>
  <c r="AA11" i="17"/>
  <c r="AB11" i="17" s="1"/>
  <c r="B26" i="17" s="1"/>
  <c r="AA10" i="17"/>
  <c r="AB10" i="17" s="1"/>
  <c r="C26" i="17" s="1"/>
  <c r="AA8" i="17"/>
  <c r="AB8" i="17" s="1"/>
  <c r="D24" i="17" s="1"/>
  <c r="AA7" i="17"/>
  <c r="AB7" i="17" s="1"/>
  <c r="B24" i="17" s="1"/>
  <c r="AA6" i="17"/>
  <c r="AB6" i="17" s="1"/>
  <c r="C24" i="17" s="1"/>
  <c r="AA4" i="17"/>
  <c r="AB4" i="17" s="1"/>
  <c r="D22" i="17" s="1"/>
  <c r="AA3" i="17"/>
  <c r="AB3" i="17" s="1"/>
  <c r="B22" i="17" s="1"/>
  <c r="AA2" i="17"/>
  <c r="AB2" i="17" s="1"/>
  <c r="C22" i="17" s="1"/>
  <c r="R19" i="16"/>
  <c r="E24" i="17" l="1"/>
  <c r="E28" i="17"/>
  <c r="E110" i="17"/>
  <c r="D106" i="17" s="1"/>
  <c r="B38" i="17"/>
  <c r="E38" i="17" s="1"/>
  <c r="E22" i="17"/>
  <c r="E26" i="17"/>
  <c r="P3" i="17"/>
  <c r="I70" i="18" l="1"/>
  <c r="V11" i="16" l="1"/>
  <c r="T11" i="17"/>
  <c r="R32" i="16" l="1"/>
  <c r="V15" i="18"/>
  <c r="T46" i="18"/>
  <c r="R43" i="18"/>
  <c r="B33" i="18"/>
  <c r="V32" i="18"/>
  <c r="R32" i="18"/>
  <c r="C33" i="18"/>
  <c r="B31" i="18"/>
  <c r="V28" i="18"/>
  <c r="R28" i="18"/>
  <c r="C31" i="18"/>
  <c r="B29" i="18"/>
  <c r="V23" i="18"/>
  <c r="R23" i="18"/>
  <c r="C29" i="18"/>
  <c r="B27" i="18"/>
  <c r="V19" i="18"/>
  <c r="R19" i="18"/>
  <c r="C27" i="18"/>
  <c r="D25" i="18"/>
  <c r="B25" i="18"/>
  <c r="Z15" i="18"/>
  <c r="R15" i="18"/>
  <c r="C25" i="18"/>
  <c r="D23" i="18"/>
  <c r="B23" i="18"/>
  <c r="Z11" i="18"/>
  <c r="V11" i="18"/>
  <c r="R11" i="18"/>
  <c r="C23" i="18"/>
  <c r="D21" i="18"/>
  <c r="B21" i="18"/>
  <c r="Z7" i="18"/>
  <c r="V7" i="18"/>
  <c r="R7" i="18"/>
  <c r="C21" i="18"/>
  <c r="D19" i="18"/>
  <c r="B19" i="18"/>
  <c r="Z3" i="18"/>
  <c r="V3" i="18"/>
  <c r="R3" i="18"/>
  <c r="C19" i="18"/>
  <c r="G74" i="17"/>
  <c r="I74" i="17" s="1"/>
  <c r="R43" i="16" l="1"/>
  <c r="G75" i="17" l="1"/>
  <c r="G76" i="17"/>
  <c r="G77" i="17"/>
  <c r="G78" i="17"/>
  <c r="G79" i="17"/>
  <c r="G80" i="17"/>
  <c r="G81" i="17"/>
  <c r="I66" i="16"/>
  <c r="I67" i="16"/>
  <c r="I68" i="16"/>
  <c r="I69" i="16"/>
  <c r="I70" i="16"/>
  <c r="I71" i="16"/>
  <c r="I72" i="16"/>
  <c r="I65" i="16"/>
  <c r="V3" i="16"/>
  <c r="I66" i="15"/>
  <c r="I67" i="15"/>
  <c r="I68" i="15"/>
  <c r="I69" i="15"/>
  <c r="I70" i="15"/>
  <c r="I71" i="15"/>
  <c r="I72" i="15"/>
  <c r="I65" i="15"/>
  <c r="I81" i="17"/>
  <c r="I79" i="17"/>
  <c r="I78" i="17"/>
  <c r="K72" i="16"/>
  <c r="K70" i="16"/>
  <c r="K69" i="16"/>
  <c r="K72" i="15"/>
  <c r="K70" i="15"/>
  <c r="K69" i="15"/>
  <c r="K65" i="15"/>
  <c r="K66" i="15"/>
  <c r="K67" i="15"/>
  <c r="K68" i="15"/>
  <c r="K71" i="15"/>
  <c r="I72" i="18" l="1"/>
  <c r="I69" i="18"/>
  <c r="I68" i="18"/>
  <c r="I67" i="18"/>
  <c r="I66" i="18"/>
  <c r="I65" i="18"/>
  <c r="K65" i="18" l="1"/>
  <c r="K66" i="18"/>
  <c r="K67" i="18"/>
  <c r="K68" i="18"/>
  <c r="K69" i="18"/>
  <c r="K70" i="18"/>
  <c r="K71" i="18"/>
  <c r="K72" i="18"/>
  <c r="B35" i="18"/>
  <c r="G21" i="18"/>
  <c r="F21" i="18"/>
  <c r="I80" i="17"/>
  <c r="I77" i="17"/>
  <c r="I76" i="17"/>
  <c r="I75" i="17"/>
  <c r="B40" i="17"/>
  <c r="E40" i="17" s="1"/>
  <c r="X140" i="17"/>
  <c r="B141" i="17" s="1"/>
  <c r="T140" i="17"/>
  <c r="J141" i="17" s="1"/>
  <c r="X15" i="17"/>
  <c r="T15" i="17"/>
  <c r="P15" i="17"/>
  <c r="X11" i="17"/>
  <c r="P11" i="17"/>
  <c r="X7" i="17"/>
  <c r="T7" i="17"/>
  <c r="P7" i="17"/>
  <c r="D42" i="17"/>
  <c r="X3" i="17"/>
  <c r="T3" i="17"/>
  <c r="K71" i="16"/>
  <c r="K68" i="16"/>
  <c r="K67" i="16"/>
  <c r="K66" i="16"/>
  <c r="K65" i="16"/>
  <c r="T46" i="16"/>
  <c r="B35" i="16" s="1"/>
  <c r="G21" i="16"/>
  <c r="F21" i="16"/>
  <c r="F37" i="16" s="1"/>
  <c r="K77" i="16" s="1"/>
  <c r="V32" i="16"/>
  <c r="V28" i="16"/>
  <c r="R28" i="16"/>
  <c r="V23" i="16"/>
  <c r="R23" i="16"/>
  <c r="V19" i="16"/>
  <c r="Z15" i="16"/>
  <c r="V15" i="16"/>
  <c r="R15" i="16"/>
  <c r="Z11" i="16"/>
  <c r="R11" i="16"/>
  <c r="Z7" i="16"/>
  <c r="V7" i="16"/>
  <c r="R7" i="16"/>
  <c r="B19" i="16"/>
  <c r="Z3" i="16"/>
  <c r="R3" i="16"/>
  <c r="C19" i="16"/>
  <c r="R43" i="15"/>
  <c r="E37" i="15" s="1"/>
  <c r="F21" i="15"/>
  <c r="T46" i="15"/>
  <c r="B35" i="15" s="1"/>
  <c r="B42" i="17" l="1"/>
  <c r="F37" i="15"/>
  <c r="K77" i="15" s="1"/>
  <c r="H35" i="15"/>
  <c r="G77" i="15" s="1"/>
  <c r="F37" i="18"/>
  <c r="K77" i="18" s="1"/>
  <c r="G37" i="18"/>
  <c r="C77" i="18" s="1"/>
  <c r="H35" i="18"/>
  <c r="G77" i="18" s="1"/>
  <c r="G37" i="16"/>
  <c r="C77" i="16" s="1"/>
  <c r="H35" i="16"/>
  <c r="G77" i="16" s="1"/>
  <c r="F141" i="17"/>
  <c r="C21" i="16"/>
  <c r="B21" i="16"/>
  <c r="C23" i="16"/>
  <c r="B23" i="16"/>
  <c r="D23" i="16"/>
  <c r="C25" i="16"/>
  <c r="B25" i="16"/>
  <c r="D25" i="16"/>
  <c r="B27" i="16"/>
  <c r="C29" i="16"/>
  <c r="C31" i="16"/>
  <c r="B31" i="16"/>
  <c r="C33" i="16"/>
  <c r="B33" i="16"/>
  <c r="B29" i="16"/>
  <c r="C27" i="16"/>
  <c r="D21" i="16"/>
  <c r="D19" i="16"/>
  <c r="Z43" i="15"/>
  <c r="G21" i="15" s="1"/>
  <c r="AC32" i="15"/>
  <c r="AD32" i="15" s="1"/>
  <c r="B33" i="15" s="1"/>
  <c r="R32" i="15"/>
  <c r="V32" i="15"/>
  <c r="AC31" i="15"/>
  <c r="AD31" i="15" s="1"/>
  <c r="C33" i="15" s="1"/>
  <c r="AC28" i="15"/>
  <c r="AD28" i="15" s="1"/>
  <c r="B31" i="15" s="1"/>
  <c r="R28" i="15"/>
  <c r="V28" i="15"/>
  <c r="AC27" i="15"/>
  <c r="AD27" i="15" s="1"/>
  <c r="C31" i="15" s="1"/>
  <c r="AC23" i="15"/>
  <c r="AD23" i="15" s="1"/>
  <c r="B29" i="15" s="1"/>
  <c r="R23" i="15"/>
  <c r="V23" i="15"/>
  <c r="AC22" i="15"/>
  <c r="AD22" i="15" s="1"/>
  <c r="C29" i="15" s="1"/>
  <c r="AC19" i="15"/>
  <c r="AD19" i="15" s="1"/>
  <c r="B27" i="15" s="1"/>
  <c r="R19" i="15"/>
  <c r="V19" i="15"/>
  <c r="AC18" i="15"/>
  <c r="AD18" i="15" s="1"/>
  <c r="C27" i="15" s="1"/>
  <c r="AC16" i="15"/>
  <c r="AD16" i="15" s="1"/>
  <c r="D25" i="15" s="1"/>
  <c r="AC15" i="15"/>
  <c r="AD15" i="15" s="1"/>
  <c r="B25" i="15" s="1"/>
  <c r="Z15" i="15"/>
  <c r="R15" i="15"/>
  <c r="V15" i="15"/>
  <c r="AC14" i="15"/>
  <c r="AD14" i="15" s="1"/>
  <c r="C25" i="15" s="1"/>
  <c r="AC12" i="15"/>
  <c r="AD12" i="15" s="1"/>
  <c r="D23" i="15" s="1"/>
  <c r="AC11" i="15"/>
  <c r="AD11" i="15" s="1"/>
  <c r="B23" i="15" s="1"/>
  <c r="Z11" i="15"/>
  <c r="R11" i="15"/>
  <c r="V11" i="15"/>
  <c r="AC10" i="15"/>
  <c r="AD10" i="15" s="1"/>
  <c r="C23" i="15" s="1"/>
  <c r="AC8" i="15"/>
  <c r="AD8" i="15" s="1"/>
  <c r="D21" i="15" s="1"/>
  <c r="AC7" i="15"/>
  <c r="AD7" i="15" s="1"/>
  <c r="B21" i="15" s="1"/>
  <c r="Z7" i="15"/>
  <c r="R7" i="15"/>
  <c r="V7" i="15"/>
  <c r="AC6" i="15"/>
  <c r="AD6" i="15" s="1"/>
  <c r="C21" i="15" s="1"/>
  <c r="AC4" i="15"/>
  <c r="AD4" i="15" s="1"/>
  <c r="D19" i="15" s="1"/>
  <c r="AC3" i="15"/>
  <c r="AD3" i="15" s="1"/>
  <c r="B19" i="15" s="1"/>
  <c r="Z3" i="15"/>
  <c r="R3" i="15"/>
  <c r="V3" i="15"/>
  <c r="AC2" i="15"/>
  <c r="AD2" i="15" s="1"/>
  <c r="C19" i="15" s="1"/>
  <c r="C42" i="17" l="1"/>
  <c r="D18" i="17" s="1"/>
  <c r="K7" i="17" s="1"/>
  <c r="G37" i="15"/>
  <c r="C77" i="15" s="1"/>
  <c r="M7" i="18"/>
  <c r="M7" i="16" l="1"/>
  <c r="M7" i="15"/>
  <c r="A1" i="17"/>
</calcChain>
</file>

<file path=xl/sharedStrings.xml><?xml version="1.0" encoding="utf-8"?>
<sst xmlns="http://schemas.openxmlformats.org/spreadsheetml/2006/main" count="2444" uniqueCount="407">
  <si>
    <t>Periodo</t>
  </si>
  <si>
    <t>Aspectos</t>
  </si>
  <si>
    <t>Mejoras</t>
  </si>
  <si>
    <t>Estructura</t>
  </si>
  <si>
    <t>Limpieza</t>
  </si>
  <si>
    <t>Tiempos de Servicio</t>
  </si>
  <si>
    <t>Mesa 1</t>
  </si>
  <si>
    <t>Mesa 2</t>
  </si>
  <si>
    <t>Mesa 3</t>
  </si>
  <si>
    <t>Mesa 4</t>
  </si>
  <si>
    <t>Mesa 5</t>
  </si>
  <si>
    <t>Aspecto</t>
  </si>
  <si>
    <t>Personal</t>
  </si>
  <si>
    <t>Buenas</t>
  </si>
  <si>
    <t>Malas</t>
  </si>
  <si>
    <t>En caso de la negativa de firma o negacion de acceso:</t>
  </si>
  <si>
    <t>La persona que estaba a cargo en el momento y se nego a firmar de realizado o nego acceso fue: ___________________</t>
  </si>
  <si>
    <t>Personas</t>
  </si>
  <si>
    <t>Temperaturas</t>
  </si>
  <si>
    <t>Proveedores</t>
  </si>
  <si>
    <t>L</t>
  </si>
  <si>
    <t>E</t>
  </si>
  <si>
    <t>P</t>
  </si>
  <si>
    <t>Sabor</t>
  </si>
  <si>
    <t>/</t>
  </si>
  <si>
    <t>Evaluación Semanal</t>
  </si>
  <si>
    <t>En el siguiente reporte de Evaluación se muestran las observaciones obtenidas de la auditoría realizada por David Navarrete en el periodo señalado. Esta Auditoria se realiza de manera semanal para registrar el avance que se ha tenido en cuanto a las mejoras de puntos negativos con relación a las evaluaciones anteriores.</t>
  </si>
  <si>
    <t>OBJETIVO: Reportar a la sucursal sus puntos negativos y observaciones anotadas por el auditor, para cubrir sus puntos débiles y tener una mejora continua</t>
  </si>
  <si>
    <t>El estudio es realizado mediante al sistema de seguridad instalado en la sucursal, tomando de referencia una mesa al día, esto en un día diferente cada una de ellas.</t>
  </si>
  <si>
    <t>Objetivo: Medir los tiempos que se demora la sucursal en atender cada uno de los pasos en el proceso de atención al cliente para optimizarlos y lograr un estándar.</t>
  </si>
  <si>
    <t>Evaluación General</t>
  </si>
  <si>
    <t>Calificación Total:</t>
  </si>
  <si>
    <t>Toma de orden</t>
  </si>
  <si>
    <t>Servicio en Mesa</t>
  </si>
  <si>
    <t>Bebida en mesa</t>
  </si>
  <si>
    <t>Comida en mesa</t>
  </si>
  <si>
    <t>Estancia Total</t>
  </si>
  <si>
    <t xml:space="preserve">Cuenta </t>
  </si>
  <si>
    <t>Los minutos anotados en la siguiente tabla son los que tardo en realizarse cada acción, es decir, desde que el cliente fue guiado y asigno a su mesa hasta que se terminó de realizar dicha acción.</t>
  </si>
  <si>
    <t>Los colores se encargan de dividir las secciones en que se toman los tiempos; color amarillo:  Atención, color naranja: Comidas, color verde: Cuenta, color azul: Cliente. Por lo cual en los colores se reinician los tiempos debiendo sumar los minutos con el último tiempo del color anterior</t>
  </si>
  <si>
    <t>Gas</t>
  </si>
  <si>
    <t>Campana</t>
  </si>
  <si>
    <t>Postres</t>
  </si>
  <si>
    <t>Refresco</t>
  </si>
  <si>
    <t>Cerveza</t>
  </si>
  <si>
    <t>Almacen</t>
  </si>
  <si>
    <t>Puntos</t>
  </si>
  <si>
    <t>Sabores</t>
  </si>
  <si>
    <t>Proovedores</t>
  </si>
  <si>
    <t>Basculas</t>
  </si>
  <si>
    <t>Existencias</t>
  </si>
  <si>
    <t>Franelas</t>
  </si>
  <si>
    <t>Cocina</t>
  </si>
  <si>
    <t>Comedor</t>
  </si>
  <si>
    <t>Comparativos</t>
  </si>
  <si>
    <t>Masa</t>
  </si>
  <si>
    <t>Antes</t>
  </si>
  <si>
    <t>Ahora</t>
  </si>
  <si>
    <t>Observaciones Anteriores</t>
  </si>
  <si>
    <t>Observaciones Actuales</t>
  </si>
  <si>
    <t>Barra</t>
  </si>
  <si>
    <t>Loza</t>
  </si>
  <si>
    <t>Baños</t>
  </si>
  <si>
    <t>Estacionamiento</t>
  </si>
  <si>
    <t>Area de Juegos</t>
  </si>
  <si>
    <t>Caja</t>
  </si>
  <si>
    <t>Tortillas</t>
  </si>
  <si>
    <t>Cebollita Cocida</t>
  </si>
  <si>
    <t>Frijol Frito</t>
  </si>
  <si>
    <t>Ideal</t>
  </si>
  <si>
    <t>144g</t>
  </si>
  <si>
    <t>96g</t>
  </si>
  <si>
    <t>64g</t>
  </si>
  <si>
    <t>Fumigación</t>
  </si>
  <si>
    <t>Termómetros</t>
  </si>
  <si>
    <t>Jugo Olla Gde.</t>
  </si>
  <si>
    <t>Jugo Olla Ch.</t>
  </si>
  <si>
    <t>45° - 60°</t>
  </si>
  <si>
    <t>65° - 80°</t>
  </si>
  <si>
    <t>50° - 99°</t>
  </si>
  <si>
    <t>Porcentaje Actual</t>
  </si>
  <si>
    <t>Porcentaje Anterior</t>
  </si>
  <si>
    <t>Totales</t>
  </si>
  <si>
    <t>Temperatura</t>
  </si>
  <si>
    <t>Personal Cocina</t>
  </si>
  <si>
    <t>Limpieza Barra</t>
  </si>
  <si>
    <t>Limpieza Cocina</t>
  </si>
  <si>
    <t>Limpieza Loza</t>
  </si>
  <si>
    <t>Limpieza Comedor</t>
  </si>
  <si>
    <t>Limpieza Baños</t>
  </si>
  <si>
    <t>Limpieza Area de Juegos</t>
  </si>
  <si>
    <t>Limpieza Caja</t>
  </si>
  <si>
    <t>Limpieza Estacionamiento</t>
  </si>
  <si>
    <t>Estructura Barra</t>
  </si>
  <si>
    <t>Estructura Cocina</t>
  </si>
  <si>
    <t>Estructura Loza</t>
  </si>
  <si>
    <t>Estructura Comedor</t>
  </si>
  <si>
    <t>Estructura Baños</t>
  </si>
  <si>
    <t>Estructura Area de Juegos</t>
  </si>
  <si>
    <t>Estructura Caja</t>
  </si>
  <si>
    <t>Estructura Estacionamiento</t>
  </si>
  <si>
    <t>Personal Barra</t>
  </si>
  <si>
    <t>Personal Loza</t>
  </si>
  <si>
    <t>Personal Comedor</t>
  </si>
  <si>
    <t>Puntos o Porcentaje</t>
  </si>
  <si>
    <t>Patria</t>
  </si>
  <si>
    <t>Mesas</t>
  </si>
  <si>
    <t>Frij de la olla</t>
  </si>
  <si>
    <t>Calificación Anterior</t>
  </si>
  <si>
    <t>Arrachera</t>
  </si>
  <si>
    <t>180g</t>
  </si>
  <si>
    <t>Check</t>
  </si>
  <si>
    <t xml:space="preserve">Grande                  </t>
  </si>
  <si>
    <t xml:space="preserve">Mediana              </t>
  </si>
  <si>
    <t>Chica</t>
  </si>
  <si>
    <t>Pesajes</t>
  </si>
  <si>
    <t>Producto</t>
  </si>
  <si>
    <t>Obtenido</t>
  </si>
  <si>
    <t>P/Llevar</t>
  </si>
  <si>
    <t>300g</t>
  </si>
  <si>
    <t>Ideales</t>
  </si>
  <si>
    <t>T. de Grasa</t>
  </si>
  <si>
    <t>Debe Haber Por Persona</t>
  </si>
  <si>
    <t>Diferencia</t>
  </si>
  <si>
    <t>Asignación de mesa</t>
  </si>
  <si>
    <t>Área de Juegos</t>
  </si>
  <si>
    <t>Checks</t>
  </si>
  <si>
    <t>Chapalita</t>
  </si>
  <si>
    <t>Tonalá</t>
  </si>
  <si>
    <t>•Lavamanos en mal estado</t>
  </si>
  <si>
    <t>•Paredes en mal estado</t>
  </si>
  <si>
    <t>Total</t>
  </si>
  <si>
    <t>A partir del 21/08/2022 la forma de evaluación cambio, siendo de la siguiente forma: Por cada punto negativo que tenga en un área, se rebajaran 10 puntos de la calificación total, en caso de rebasar  los 100 puntos se seguirá con la calificación en cifras negativas</t>
  </si>
  <si>
    <t>•Machuelo de fuente en mal estado</t>
  </si>
  <si>
    <t xml:space="preserve"> </t>
  </si>
  <si>
    <t>•Piso y luces en mal estado</t>
  </si>
  <si>
    <t>50° - 75°</t>
  </si>
  <si>
    <t xml:space="preserve">•Pared en mal estado                                                                                </t>
  </si>
  <si>
    <t>•Mesas, botes, ventiladores y sillas en mal estado</t>
  </si>
  <si>
    <t>•Luz en mal estado</t>
  </si>
  <si>
    <t>•Mesas, techo y sillas en mal estado</t>
  </si>
  <si>
    <t>•Puerta sucia</t>
  </si>
  <si>
    <r>
      <t xml:space="preserve">La cloración </t>
    </r>
    <r>
      <rPr>
        <u/>
        <sz val="16"/>
        <color theme="1"/>
        <rFont val="Bahnschrift Light Condensed"/>
        <family val="2"/>
      </rPr>
      <t xml:space="preserve"> 00 </t>
    </r>
    <r>
      <rPr>
        <sz val="16"/>
        <color theme="1"/>
        <rFont val="Bahnschrift Light Condensed"/>
        <family val="2"/>
      </rPr>
      <t xml:space="preserve"> se realizo</t>
    </r>
  </si>
  <si>
    <t>La auditoría fue realizada por David Navarrete Álvarez el día 00_/ 11_/2022_/ en el horario de 00:00 pm</t>
  </si>
  <si>
    <t>N/A</t>
  </si>
  <si>
    <t>•Mobiliario, refrigeradores y suelo sucios</t>
  </si>
  <si>
    <t xml:space="preserve">•Mobiliario, franelas, utensislios, refrigeradores y cajas en mal estado          </t>
  </si>
  <si>
    <t>•Mobiliario, utencilicios, campana, vajilla, lavamanos, refrigeradores y cajas sucios                                              •Personal con uniforme sucio y uñas largas.                  •Jugo, frijol de olla y cebollita guisda con baja temperatura</t>
  </si>
  <si>
    <t>•Luces en mal estado                              •Personal con uñas largas</t>
  </si>
  <si>
    <t>•Piso, utensilios y estantes sucios</t>
  </si>
  <si>
    <t>•Mesas, botes, ventiladores, sillas y periqueras sucias</t>
  </si>
  <si>
    <t>•Inodoro, espejo, lavamanos y surtidores sucios</t>
  </si>
  <si>
    <t>No hay cerveza para surtir y pedidos de masa llegan tarde</t>
  </si>
  <si>
    <t>•Techo, pared y mueble en mal estado</t>
  </si>
  <si>
    <t>•Barra y vajilla sucia</t>
  </si>
  <si>
    <t>•Techo, paredes, mobiliario y pretiles en mal estado      •Jugo, frijol de olla y cebollita guisda en temperatura inadecuada</t>
  </si>
  <si>
    <t>•No se realizo Check</t>
  </si>
  <si>
    <t>•Botes sucios                •Personal con accesorios          •No se realizo Check</t>
  </si>
  <si>
    <t>•Problemas con producto de Almacen y Gas no rinde en ocaciones</t>
  </si>
  <si>
    <t>•Espejo, inodoro y suelo sucios                                           •No se realizo Check</t>
  </si>
  <si>
    <t>•Suelo, mobiliario, campanas, pretiles y refrijeradores de cocina sucios                                      •Personal con accesorios y uniforme incompleto</t>
  </si>
  <si>
    <t xml:space="preserve">•Sillas y mesas sucias                </t>
  </si>
  <si>
    <t xml:space="preserve">•Cebollita guisada con temperatura alta </t>
  </si>
  <si>
    <t>Refresco son producto para surtir y Masa llego tarde toda la semana</t>
  </si>
  <si>
    <t>La persona encargada de la sucursal en el momento que el se realizó la auditoria y firmo de enterado fue _______</t>
  </si>
  <si>
    <t>La persona encargada de la sucursal en el momento que el se realizó la auditoria y firmo de enterado fue ____________</t>
  </si>
  <si>
    <t>La persona encargada de la sucursal en el momento que el se realizó la auditoria y firmo de enterado fue ___________</t>
  </si>
  <si>
    <t>Fecha: 13/11/2022</t>
  </si>
  <si>
    <t>Semana del 7 al 13 de Noviembre</t>
  </si>
  <si>
    <t xml:space="preserve">Almacen </t>
  </si>
  <si>
    <t>Estructura Almacen</t>
  </si>
  <si>
    <t>Limpieza Almacen</t>
  </si>
  <si>
    <t>160g</t>
  </si>
  <si>
    <t>120g</t>
  </si>
  <si>
    <t>80g</t>
  </si>
  <si>
    <t xml:space="preserve">Segunda Calificacion </t>
  </si>
  <si>
    <t xml:space="preserve">Primera Calificacion </t>
  </si>
  <si>
    <t>Calificación</t>
  </si>
  <si>
    <t>Quejas</t>
  </si>
  <si>
    <t xml:space="preserve">Cantidad de Quejas </t>
  </si>
  <si>
    <t>Evidencia</t>
  </si>
  <si>
    <t>Quejas en Redes</t>
  </si>
  <si>
    <t>Ambiente</t>
  </si>
  <si>
    <t>Ventilacion</t>
  </si>
  <si>
    <t>Focos</t>
  </si>
  <si>
    <t>Bocinas</t>
  </si>
  <si>
    <t>Fuente</t>
  </si>
  <si>
    <t xml:space="preserve">Tercera Calificacion </t>
  </si>
  <si>
    <t>Manifiestos</t>
  </si>
  <si>
    <t>Cloracion</t>
  </si>
  <si>
    <t>Mermas</t>
  </si>
  <si>
    <t>Inventarios</t>
  </si>
  <si>
    <t>Esta primera calificacion contempla la evaluacion obtenida de Limpieza, Estrutura y Personal</t>
  </si>
  <si>
    <t xml:space="preserve">Cuarta Calificacion </t>
  </si>
  <si>
    <t xml:space="preserve">Esta segunda calificacion contempla la evaluacion obtenida de Tiempos de servicio, Quejas presentadas y Ambiente </t>
  </si>
  <si>
    <t>Esta tercera calificacion contempla la evaluacion obtenida de Cloracion, Checks, Mermas y Manifiestos</t>
  </si>
  <si>
    <t>Esta cuarta calificacion contempla la evaluacion obtenida de Inventarios</t>
  </si>
  <si>
    <t>Cebollita C.</t>
  </si>
  <si>
    <t>I. Control y Calidad</t>
  </si>
  <si>
    <t>II. Servicio</t>
  </si>
  <si>
    <t>Fecha: 00/00/2000</t>
  </si>
  <si>
    <t>Semana del 00 al 00 de ____</t>
  </si>
  <si>
    <r>
      <t xml:space="preserve">La cloración </t>
    </r>
    <r>
      <rPr>
        <u/>
        <sz val="14"/>
        <color theme="1"/>
        <rFont val="Bahnschrift Light Condensed"/>
        <family val="2"/>
      </rPr>
      <t xml:space="preserve">  00  </t>
    </r>
    <r>
      <rPr>
        <sz val="14"/>
        <color theme="1"/>
        <rFont val="Bahnschrift Light Condensed"/>
        <family val="2"/>
      </rPr>
      <t xml:space="preserve"> se realizo</t>
    </r>
  </si>
  <si>
    <t>La persona encargada de la sucursal en el momento que el se realizó la auditoria y firmo de enterado fue _____</t>
  </si>
  <si>
    <t>P. Actual</t>
  </si>
  <si>
    <t>Porcentaje</t>
  </si>
  <si>
    <t>Bodega</t>
  </si>
  <si>
    <t>Prodcutos</t>
  </si>
  <si>
    <t>Observaciones</t>
  </si>
  <si>
    <t>Calidad de Productos</t>
  </si>
  <si>
    <t>Tiempos</t>
  </si>
  <si>
    <t>III. Inventarios</t>
  </si>
  <si>
    <t>IV. Otros</t>
  </si>
  <si>
    <t>Servicio</t>
  </si>
  <si>
    <t>Orden</t>
  </si>
  <si>
    <t>Bebida</t>
  </si>
  <si>
    <t>Estancia</t>
  </si>
  <si>
    <t>Sobrante</t>
  </si>
  <si>
    <t>Faltante</t>
  </si>
  <si>
    <t>Correcto</t>
  </si>
  <si>
    <t>Compras</t>
  </si>
  <si>
    <t>Ventas</t>
  </si>
  <si>
    <t>CERVEZA</t>
  </si>
  <si>
    <t>POSTRES</t>
  </si>
  <si>
    <t>Inventario I.</t>
  </si>
  <si>
    <t>Inventario F.</t>
  </si>
  <si>
    <t>Inventario F. Real</t>
  </si>
  <si>
    <t xml:space="preserve">                     </t>
  </si>
  <si>
    <t>Bien</t>
  </si>
  <si>
    <t>Mal</t>
  </si>
  <si>
    <t>Frijol de la olla</t>
  </si>
  <si>
    <t>Chuleta</t>
  </si>
  <si>
    <t>Chorizo</t>
  </si>
  <si>
    <t>Rebanada</t>
  </si>
  <si>
    <t>Coca</t>
  </si>
  <si>
    <t>Coca light</t>
  </si>
  <si>
    <t>Mundet</t>
  </si>
  <si>
    <t>Sprite</t>
  </si>
  <si>
    <t>Fresca</t>
  </si>
  <si>
    <t>Corona</t>
  </si>
  <si>
    <t>Negra modelo</t>
  </si>
  <si>
    <t>Modelo</t>
  </si>
  <si>
    <t>Flan</t>
  </si>
  <si>
    <t>Jericalla</t>
  </si>
  <si>
    <t>Almacén</t>
  </si>
  <si>
    <t>Calificación Actual</t>
  </si>
  <si>
    <t>En caso de la negativa de firma o negación de acceso:</t>
  </si>
  <si>
    <t>La persona que estaba a cargo en el momento y se negó a firmar de realizado o negó acceso fue: ___________________</t>
  </si>
  <si>
    <t xml:space="preserve">Primera Calificación </t>
  </si>
  <si>
    <t xml:space="preserve">Almacén </t>
  </si>
  <si>
    <t xml:space="preserve">Segunda Calificación </t>
  </si>
  <si>
    <t xml:space="preserve">Tercera Calificación </t>
  </si>
  <si>
    <t>Cloración</t>
  </si>
  <si>
    <t>Bistec</t>
  </si>
  <si>
    <t>Coca sin azúcar</t>
  </si>
  <si>
    <t>Porcentaje de Temperatura</t>
  </si>
  <si>
    <t>Porcentaje de Sabores</t>
  </si>
  <si>
    <t>Filete</t>
  </si>
  <si>
    <t>Puntuación</t>
  </si>
  <si>
    <t>60° - 67°</t>
  </si>
  <si>
    <t>65° - 78°</t>
  </si>
  <si>
    <t xml:space="preserve">Servicio </t>
  </si>
  <si>
    <t>Basura</t>
  </si>
  <si>
    <t>Calificacion de comedor</t>
  </si>
  <si>
    <t>Calificacion de cocina</t>
  </si>
  <si>
    <t>Calificacion de supervisor</t>
  </si>
  <si>
    <t>Calificacion de cajeros</t>
  </si>
  <si>
    <t>Menos 10 puntos por mala reseña en Google</t>
  </si>
  <si>
    <t>•Mueble y pared en mal estado.</t>
  </si>
  <si>
    <t>Servicios</t>
  </si>
  <si>
    <t>Planchas</t>
  </si>
  <si>
    <t>Estructura Tortillas</t>
  </si>
  <si>
    <t>Estructura Servicios</t>
  </si>
  <si>
    <t>Personal Plancha</t>
  </si>
  <si>
    <t>Limpieza Plancha</t>
  </si>
  <si>
    <t>Estructura Plancha</t>
  </si>
  <si>
    <t>Personal Tortillas</t>
  </si>
  <si>
    <t>Personal Servicios</t>
  </si>
  <si>
    <t>Plancha</t>
  </si>
  <si>
    <t>Chef</t>
  </si>
  <si>
    <t>Capitán de meseros</t>
  </si>
  <si>
    <t>Temperaturas y Sabores</t>
  </si>
  <si>
    <t>Área</t>
  </si>
  <si>
    <t>Inventario</t>
  </si>
  <si>
    <t>Temperatura y sabor</t>
  </si>
  <si>
    <t>Personal Limpieza</t>
  </si>
  <si>
    <t>Loma</t>
  </si>
  <si>
    <t>Limpieza Servicios</t>
  </si>
  <si>
    <t>Limpieza Tortillas</t>
  </si>
  <si>
    <t>Puesto</t>
  </si>
  <si>
    <t>Nombre</t>
  </si>
  <si>
    <t>Tortillera</t>
  </si>
  <si>
    <t>Lava loza</t>
  </si>
  <si>
    <t>Cajero</t>
  </si>
  <si>
    <t>Mesero</t>
  </si>
  <si>
    <t>Cocinero</t>
  </si>
  <si>
    <t>IGNACIA GARCIA MORALES</t>
  </si>
  <si>
    <t>MA. DEL CARMEN MARTINEZ MORALES</t>
  </si>
  <si>
    <t>TERESA RUIZ MENDEZ</t>
  </si>
  <si>
    <t>CINDHIA JANETTE CUETO PADILLA</t>
  </si>
  <si>
    <t>MARTINA ALBAREZ ESPINOSA</t>
  </si>
  <si>
    <t>Asistencia</t>
  </si>
  <si>
    <t xml:space="preserve">Menos 20 puntos por 2 malas reseñas en Google </t>
  </si>
  <si>
    <t>CLAUDIA MARIA GUZMAN PLACENCIA</t>
  </si>
  <si>
    <t>Auxiliar de limpieza</t>
  </si>
  <si>
    <t>Guacamole</t>
  </si>
  <si>
    <t>Salsa</t>
  </si>
  <si>
    <t>-</t>
  </si>
  <si>
    <t>Comida</t>
  </si>
  <si>
    <t>FERNANDA MONTSERRAT DURAN GUZMAN</t>
  </si>
  <si>
    <t>Hostes</t>
  </si>
  <si>
    <t>La persona encargada de la sucursal en el momento que se realizo la auditoria y firmo de enterado fue David.</t>
  </si>
  <si>
    <t>ISRAEL ADONAY MORENO RUVALCABA</t>
  </si>
  <si>
    <t>Asignación</t>
  </si>
  <si>
    <t>Cubre Admin</t>
  </si>
  <si>
    <t>•Techo de cocina fria en mal estado</t>
  </si>
  <si>
    <t>JACKELINE CASTELLANOS CARRILLO</t>
  </si>
  <si>
    <t>ARIEL NATANAEL MONTES JIMENES</t>
  </si>
  <si>
    <t>LUIS FERNANDO ALONSO OLIVARES</t>
  </si>
  <si>
    <t>Repartidor</t>
  </si>
  <si>
    <t>CO Cocinero</t>
  </si>
  <si>
    <t>NANCY CARRILLO ZAVALA</t>
  </si>
  <si>
    <t xml:space="preserve">•Techo, paredes y suelo en mal estado.   </t>
  </si>
  <si>
    <t>50° - 90°</t>
  </si>
  <si>
    <t>60° - 75°</t>
  </si>
  <si>
    <t>MA. ANGELICA GALINDO SANCHEZ</t>
  </si>
  <si>
    <t>Personal aseo</t>
  </si>
  <si>
    <t>Otros</t>
  </si>
  <si>
    <t>CITLALY NAYELY LAMAS HERNANDEZ</t>
  </si>
  <si>
    <t>2pts por tiempo adelantado</t>
  </si>
  <si>
    <t>1 pt por tiempo en tolerancia</t>
  </si>
  <si>
    <t xml:space="preserve">0 pt por tiempo fuera </t>
  </si>
  <si>
    <t>T. Actual</t>
  </si>
  <si>
    <t xml:space="preserve">T. Ideal </t>
  </si>
  <si>
    <t>T. Tolerable</t>
  </si>
  <si>
    <t>60° - 90°</t>
  </si>
  <si>
    <t>1 de 4</t>
  </si>
  <si>
    <t>Inventario inicial</t>
  </si>
  <si>
    <t>Inventario Final</t>
  </si>
  <si>
    <t>Inventario Final Real</t>
  </si>
  <si>
    <t>Queso</t>
  </si>
  <si>
    <t>Tocino</t>
  </si>
  <si>
    <t xml:space="preserve">•Techo, paredes y suelo en mal estado   </t>
  </si>
  <si>
    <t>•Botiquines incompletos.</t>
  </si>
  <si>
    <t>Salidas</t>
  </si>
  <si>
    <t>Cámara</t>
  </si>
  <si>
    <t>LUIS ENRIQUE TORRES GARCIA</t>
  </si>
  <si>
    <t>BEATRIZ PEREZ VIVANCO</t>
  </si>
  <si>
    <t>La persona encargada de la sucursal en el momento que se realizó la auditoria y firmo de enterado fue Chuy</t>
  </si>
  <si>
    <t>•Personal con accesorios.</t>
  </si>
  <si>
    <t>Mesa 6</t>
  </si>
  <si>
    <t>•Personal con uniforme incompleto.</t>
  </si>
  <si>
    <t>•Piso en mal estado</t>
  </si>
  <si>
    <t>LEONEL JONATHAN JAVIER HERNANDEZ VELAZQUEZ</t>
  </si>
  <si>
    <t>GLADIS ESTRADA GUTIERREZ</t>
  </si>
  <si>
    <t>Auxiliar general</t>
  </si>
  <si>
    <t>JAVIER GONZALEZ JIMENEZ</t>
  </si>
  <si>
    <t>•Juegos en mal estado</t>
  </si>
  <si>
    <t>•Sillas en mal estado.  •Personal con accesorios.</t>
  </si>
  <si>
    <t>•Inodoros en mal esatado.</t>
  </si>
  <si>
    <t xml:space="preserve">•Piso, mobiliario y refrigeradores sucios </t>
  </si>
  <si>
    <t>•Trapos érroneos   •Personal con uniforme incompleto.</t>
  </si>
  <si>
    <t>•Refrigerador en mal estado. •Franelas érroneas.   •Personal con accesorios.</t>
  </si>
  <si>
    <t xml:space="preserve"> •Franelas érroneas. </t>
  </si>
  <si>
    <t>•Piso y mueble sucios.</t>
  </si>
  <si>
    <t>•Paredes y piso sucios.</t>
  </si>
  <si>
    <t>•Barra pricipal en mal estado   •Personal con uniforme incompleto.</t>
  </si>
  <si>
    <t>15 al 21 de julio</t>
  </si>
  <si>
    <t xml:space="preserve">•Mesas, botes de basura y sillas en mal estado. </t>
  </si>
  <si>
    <t>•Charolas, pantalla, botes de basura, suelo y sillas sucias.</t>
  </si>
  <si>
    <t>•Refrigeradores sucios.</t>
  </si>
  <si>
    <t>•Mobiliario y pared en mal estado.  •Personal con uniforme incompleto.</t>
  </si>
  <si>
    <t>•Pretiles, paredes y suelo en mal estado.  •Personal con uniforme incompleto.</t>
  </si>
  <si>
    <t>• Coladera sucia.</t>
  </si>
  <si>
    <t>•Inodoros, espejo  y suelo sucios</t>
  </si>
  <si>
    <t>•Juegos, piso y maquinas sucias.</t>
  </si>
  <si>
    <t>•Anaqueles sucios.</t>
  </si>
  <si>
    <t>Fecha: 16/07/2024</t>
  </si>
  <si>
    <t>La auditoría fue realizada por David Navarrete Álvarez el día 16/_07_/2024  en el horario de 03:43 pm</t>
  </si>
  <si>
    <t>Fecha: 17/07/2024</t>
  </si>
  <si>
    <t>La auditoría fue realizada por David Navarrete Álvarez el día 17/_07_/2024 en el horario de 5:37 pm</t>
  </si>
  <si>
    <t>•Suelo, botes de basura, ventilador, sillas y pantalla sucias.</t>
  </si>
  <si>
    <t xml:space="preserve">•Techo, refrigerador, paredes y mueble de servicio en mal estado    </t>
  </si>
  <si>
    <t>•Techo,botes de basura, pared, mesas y sillas en mal estado      •Personal con uñas largas.</t>
  </si>
  <si>
    <t>•Refrigerador sucio.</t>
  </si>
  <si>
    <t>•Campanas y mobiliario sucias.</t>
  </si>
  <si>
    <t>•Personal con uniforme incompleto  y con uñas largas.</t>
  </si>
  <si>
    <t xml:space="preserve">•Coladera y piso sucios. </t>
  </si>
  <si>
    <t>La persona encargada de la sucursal en el momento que se realizó la auditoria y firmo de enterado fue Kassandra</t>
  </si>
  <si>
    <t>Fecha: 19/07/2024</t>
  </si>
  <si>
    <t>Fecha: 18/07/2024</t>
  </si>
  <si>
    <t>La auditoría fue realizada por David Navarrete Álvarez el día 18_/ 07_/2024_/ en el horario de 4:26 pm</t>
  </si>
  <si>
    <t>La persona encargada de la sucursal en el momento que se realizó la auditoria y firmo de enterado fue Laura</t>
  </si>
  <si>
    <t>•Sillas sucias.</t>
  </si>
  <si>
    <t xml:space="preserve">•Pretiles  en mal estado.   </t>
  </si>
  <si>
    <t>•Mobiliario sucio.</t>
  </si>
  <si>
    <t>•Piso y puertas sucias.</t>
  </si>
  <si>
    <t>Piso sucio.</t>
  </si>
  <si>
    <t>•Cortinas y ventilador de cocina fría sucios •Paredes, ollas y quemadores sucios.  •Piso de comedor y piso de lockers sucios</t>
  </si>
  <si>
    <t xml:space="preserve">•Tocino con peso erróneo. •Frijol limpio con mitades y basura.  •Cebolita cocida sin fecha </t>
  </si>
  <si>
    <t>La auditoría fue realizada por David Navarrete Álvarez el día 18_/ 07_/2024  en el horario de 01:33 pm</t>
  </si>
  <si>
    <t>•Podiums y periqueras sucias.</t>
  </si>
  <si>
    <t>•Trapos erroneos •Personal con uniforme incompleto.</t>
  </si>
  <si>
    <t>5 de 5</t>
  </si>
  <si>
    <t>La auditoría fue realizada por David Navarrete Álvarez el día 19_/ 07_/2024 en el horario de 03:43 pm. La persona encargada de la sucursal en el momento que se realizó la auditoria y firmo de enterado fue Fernando.  En caso de la negativa de firma o negación de acceso:  La persona que estaba a cargo en el momento y se negó a firmar de realizado o negó acceso fue: ___________________</t>
  </si>
  <si>
    <t>•Maquinas de jugetes no funcionan.</t>
  </si>
  <si>
    <t>08 al 14 de julio del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</si>
</sst>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0.0"/>
    <numFmt numFmtId="165" formatCode="h:mm;@"/>
    <numFmt numFmtId="166" formatCode="h:mm:ss;@"/>
  </numFmts>
  <fonts count="92" x14ac:knownFonts="1">
    <font>
      <sz val="11"/>
      <color theme="1"/>
      <name val="Calibri"/>
      <family val="2"/>
      <scheme val="minor"/>
    </font>
    <font>
      <sz val="11"/>
      <color theme="1"/>
      <name val="Bahnschrift Light Condensed"/>
      <family val="2"/>
    </font>
    <font>
      <sz val="14"/>
      <color theme="1"/>
      <name val="Bahnschrift Light Condensed"/>
      <family val="2"/>
    </font>
    <font>
      <sz val="16"/>
      <color theme="1"/>
      <name val="Bahnschrift Light Condensed"/>
      <family val="2"/>
    </font>
    <font>
      <b/>
      <sz val="12"/>
      <color theme="1"/>
      <name val="Bahnschrift Light Condensed"/>
      <family val="2"/>
    </font>
    <font>
      <b/>
      <sz val="14"/>
      <color theme="1"/>
      <name val="Bahnschrift Light Condensed"/>
      <family val="2"/>
    </font>
    <font>
      <sz val="10"/>
      <color theme="1"/>
      <name val="Bahnschrift Light Condensed"/>
      <family val="2"/>
    </font>
    <font>
      <b/>
      <sz val="11"/>
      <color theme="1"/>
      <name val="Bahnschrift Light Condensed"/>
      <family val="2"/>
    </font>
    <font>
      <sz val="24"/>
      <color rgb="FF000000"/>
      <name val="Bahnschrift Light Condensed"/>
      <family val="2"/>
    </font>
    <font>
      <sz val="10"/>
      <color rgb="FF000000"/>
      <name val="Bahnschrift Light Condensed"/>
      <family val="2"/>
    </font>
    <font>
      <sz val="11"/>
      <color theme="0"/>
      <name val="Bahnschrift Light Condensed"/>
      <family val="2"/>
    </font>
    <font>
      <sz val="10"/>
      <color theme="0"/>
      <name val="Bahnschrift Light Condensed"/>
      <family val="2"/>
    </font>
    <font>
      <sz val="24"/>
      <color theme="1"/>
      <name val="Bahnschrift Light Condensed"/>
      <family val="2"/>
    </font>
    <font>
      <sz val="11"/>
      <color theme="1"/>
      <name val="Calibri"/>
      <family val="2"/>
      <scheme val="minor"/>
    </font>
    <font>
      <sz val="11"/>
      <name val="Bahnschrift Light Condensed"/>
      <family val="2"/>
    </font>
    <font>
      <sz val="11"/>
      <color rgb="FF000000"/>
      <name val="Bahnschrift Light Condensed"/>
      <family val="2"/>
    </font>
    <font>
      <sz val="12"/>
      <color theme="1"/>
      <name val="Bahnschrift Light Condensed"/>
      <family val="2"/>
    </font>
    <font>
      <sz val="14"/>
      <color theme="0"/>
      <name val="Bahnschrift Light Condensed"/>
      <family val="2"/>
    </font>
    <font>
      <sz val="12"/>
      <color theme="0"/>
      <name val="Bahnschrift Light Condensed"/>
      <family val="2"/>
    </font>
    <font>
      <sz val="9"/>
      <color theme="1"/>
      <name val="Bahnschrift Light Condensed"/>
      <family val="2"/>
    </font>
    <font>
      <sz val="9"/>
      <color theme="0"/>
      <name val="Bahnschrift Light Condensed"/>
      <family val="2"/>
    </font>
    <font>
      <u/>
      <sz val="16"/>
      <color theme="1"/>
      <name val="Bahnschrift Light Condensed"/>
      <family val="2"/>
    </font>
    <font>
      <sz val="6"/>
      <color theme="1"/>
      <name val="Bahnschrift Light Condensed"/>
      <family val="2"/>
    </font>
    <font>
      <sz val="12"/>
      <color rgb="FFFF0000"/>
      <name val="Bahnschrift Light Condensed"/>
      <family val="2"/>
    </font>
    <font>
      <sz val="8"/>
      <color theme="1"/>
      <name val="Bahnschrift Light Condensed"/>
      <family val="2"/>
    </font>
    <font>
      <sz val="11"/>
      <color rgb="FFFF0000"/>
      <name val="Bahnschrift Light Condensed"/>
      <family val="2"/>
    </font>
    <font>
      <b/>
      <sz val="10"/>
      <color theme="1"/>
      <name val="Bahnschrift Light Condensed"/>
      <family val="2"/>
    </font>
    <font>
      <sz val="8"/>
      <color theme="0"/>
      <name val="Bahnschrift Light Condensed"/>
      <family val="2"/>
    </font>
    <font>
      <sz val="24"/>
      <name val="Bahnschrift Light Condensed"/>
      <family val="2"/>
    </font>
    <font>
      <sz val="14"/>
      <color rgb="FFFF0000"/>
      <name val="Bahnschrift Light Condensed"/>
      <family val="2"/>
    </font>
    <font>
      <sz val="10"/>
      <name val="Bahnschrift Light Condensed"/>
      <family val="2"/>
    </font>
    <font>
      <u/>
      <sz val="14"/>
      <color theme="1"/>
      <name val="Bahnschrift Light Condensed"/>
      <family val="2"/>
    </font>
    <font>
      <sz val="18"/>
      <color theme="0"/>
      <name val="Bahnschrift Light Condensed"/>
      <family val="2"/>
    </font>
    <font>
      <sz val="20"/>
      <color theme="0"/>
      <name val="Bahnschrift Light Condensed"/>
      <family val="2"/>
    </font>
    <font>
      <sz val="18"/>
      <color theme="1"/>
      <name val="Bahnschrift Light Condensed"/>
      <family val="2"/>
    </font>
    <font>
      <sz val="22"/>
      <color theme="1"/>
      <name val="Bahnschrift Light Condensed"/>
      <family val="2"/>
    </font>
    <font>
      <sz val="36"/>
      <color theme="1"/>
      <name val="Bahnschrift Light Condensed"/>
      <family val="2"/>
    </font>
    <font>
      <sz val="22"/>
      <color rgb="FFFF0000"/>
      <name val="Bahnschrift Light Condensed"/>
      <family val="2"/>
    </font>
    <font>
      <sz val="14"/>
      <name val="Bahnschrift Light Condensed"/>
      <family val="2"/>
    </font>
    <font>
      <sz val="20"/>
      <color theme="1"/>
      <name val="Bahnschrift Light Condensed"/>
      <family val="2"/>
    </font>
    <font>
      <sz val="12"/>
      <name val="Bahnschrift Light Condensed"/>
      <family val="2"/>
    </font>
    <font>
      <b/>
      <sz val="9"/>
      <color theme="1"/>
      <name val="Bahnschrift Light Condensed"/>
      <family val="2"/>
    </font>
    <font>
      <sz val="10"/>
      <color rgb="FFFF0000"/>
      <name val="Bahnschrift Light Condensed"/>
      <family val="2"/>
    </font>
    <font>
      <sz val="6"/>
      <color rgb="FFFFFFFF"/>
      <name val="Bahnschrift Light Condensed"/>
      <family val="2"/>
    </font>
    <font>
      <sz val="8"/>
      <color rgb="FF000000"/>
      <name val="Bahnschrift Light Condensed"/>
      <family val="2"/>
    </font>
    <font>
      <sz val="16"/>
      <color theme="0"/>
      <name val="Bahnschrift Light Condensed"/>
      <family val="2"/>
    </font>
    <font>
      <b/>
      <sz val="10"/>
      <color rgb="FF9C0006"/>
      <name val="Calibri"/>
      <family val="2"/>
      <scheme val="minor"/>
    </font>
    <font>
      <b/>
      <sz val="10"/>
      <color rgb="FF000000"/>
      <name val="Calibri"/>
      <family val="2"/>
      <scheme val="minor"/>
    </font>
    <font>
      <sz val="10"/>
      <color rgb="FF000000"/>
      <name val="Calibri"/>
      <family val="2"/>
      <scheme val="minor"/>
    </font>
    <font>
      <b/>
      <sz val="10"/>
      <color rgb="FF9C5700"/>
      <name val="Calibri"/>
      <family val="2"/>
      <scheme val="minor"/>
    </font>
    <font>
      <b/>
      <sz val="10"/>
      <color rgb="FF000000"/>
      <name val="Calibri"/>
      <family val="2"/>
    </font>
    <font>
      <sz val="10"/>
      <color theme="1"/>
      <name val="Calibri"/>
      <family val="2"/>
      <scheme val="minor"/>
    </font>
    <font>
      <b/>
      <sz val="10"/>
      <color rgb="FFDB2525"/>
      <name val="Calibri"/>
      <family val="2"/>
      <scheme val="minor"/>
    </font>
    <font>
      <b/>
      <sz val="10"/>
      <color rgb="FF375623"/>
      <name val="Calibri"/>
      <family val="2"/>
      <scheme val="minor"/>
    </font>
    <font>
      <sz val="11"/>
      <color theme="0"/>
      <name val="Calibri"/>
      <family val="2"/>
      <scheme val="minor"/>
    </font>
    <font>
      <sz val="12"/>
      <color theme="1"/>
      <name val="Calibri"/>
      <family val="2"/>
      <scheme val="minor"/>
    </font>
    <font>
      <sz val="11"/>
      <name val="Calibri"/>
      <family val="2"/>
      <scheme val="minor"/>
    </font>
    <font>
      <sz val="9"/>
      <color theme="1"/>
      <name val="Calibri"/>
      <family val="2"/>
      <scheme val="minor"/>
    </font>
    <font>
      <sz val="24"/>
      <color rgb="FF000000"/>
      <name val="Calibri"/>
      <family val="2"/>
      <scheme val="minor"/>
    </font>
    <font>
      <b/>
      <sz val="9"/>
      <color theme="1"/>
      <name val="Calibri"/>
      <family val="2"/>
      <scheme val="minor"/>
    </font>
    <font>
      <sz val="14"/>
      <color theme="1"/>
      <name val="Calibri"/>
      <family val="2"/>
      <scheme val="minor"/>
    </font>
    <font>
      <b/>
      <sz val="10"/>
      <color theme="1"/>
      <name val="Calibri"/>
      <family val="2"/>
      <scheme val="minor"/>
    </font>
    <font>
      <sz val="24"/>
      <name val="Calibri"/>
      <family val="2"/>
      <scheme val="minor"/>
    </font>
    <font>
      <sz val="16"/>
      <color theme="1"/>
      <name val="Calibri"/>
      <family val="2"/>
      <scheme val="minor"/>
    </font>
    <font>
      <sz val="12"/>
      <name val="Calibri"/>
      <family val="2"/>
      <scheme val="minor"/>
    </font>
    <font>
      <sz val="18"/>
      <color theme="1"/>
      <name val="Calibri"/>
      <family val="2"/>
      <scheme val="minor"/>
    </font>
    <font>
      <sz val="12"/>
      <color rgb="FFFF0000"/>
      <name val="Calibri"/>
      <family val="2"/>
      <scheme val="minor"/>
    </font>
    <font>
      <sz val="16"/>
      <color theme="0"/>
      <name val="Calibri"/>
      <family val="2"/>
      <scheme val="minor"/>
    </font>
    <font>
      <sz val="22"/>
      <name val="Calibri"/>
      <family val="2"/>
      <scheme val="minor"/>
    </font>
    <font>
      <sz val="9"/>
      <color theme="0"/>
      <name val="Calibri"/>
      <family val="2"/>
      <scheme val="minor"/>
    </font>
    <font>
      <sz val="14"/>
      <color theme="0"/>
      <name val="Calibri"/>
      <family val="2"/>
      <scheme val="minor"/>
    </font>
    <font>
      <sz val="14"/>
      <name val="Calibri"/>
      <family val="2"/>
      <scheme val="minor"/>
    </font>
    <font>
      <sz val="10"/>
      <name val="Calibri"/>
      <family val="2"/>
      <scheme val="minor"/>
    </font>
    <font>
      <sz val="14"/>
      <color rgb="FFFF0000"/>
      <name val="Calibri"/>
      <family val="2"/>
      <scheme val="minor"/>
    </font>
    <font>
      <sz val="11"/>
      <color rgb="FF000000"/>
      <name val="Calibri"/>
      <family val="2"/>
      <scheme val="minor"/>
    </font>
    <font>
      <sz val="22"/>
      <color theme="1"/>
      <name val="Calibri"/>
      <family val="2"/>
      <scheme val="minor"/>
    </font>
    <font>
      <sz val="20"/>
      <color theme="0"/>
      <name val="Calibri"/>
      <family val="2"/>
      <scheme val="minor"/>
    </font>
    <font>
      <sz val="22"/>
      <color rgb="FF000000"/>
      <name val="Calibri"/>
      <family val="2"/>
      <scheme val="minor"/>
    </font>
    <font>
      <sz val="6"/>
      <color rgb="FFFFFFFF"/>
      <name val="Calibri"/>
      <family val="2"/>
      <scheme val="minor"/>
    </font>
    <font>
      <sz val="8"/>
      <color rgb="FF000000"/>
      <name val="Calibri"/>
      <family val="2"/>
      <scheme val="minor"/>
    </font>
    <font>
      <sz val="20"/>
      <color theme="1"/>
      <name val="Calibri"/>
      <family val="2"/>
      <scheme val="minor"/>
    </font>
    <font>
      <sz val="12"/>
      <color theme="0"/>
      <name val="Calibri"/>
      <family val="2"/>
      <scheme val="minor"/>
    </font>
    <font>
      <sz val="8"/>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24"/>
      <color rgb="FFFF0000"/>
      <name val="Bahnschrift Light Condensed"/>
      <family val="2"/>
    </font>
    <font>
      <b/>
      <sz val="10"/>
      <color rgb="FF806000"/>
      <name val="Calibri"/>
      <family val="2"/>
      <scheme val="minor"/>
    </font>
    <font>
      <sz val="18"/>
      <name val="Calibri"/>
      <family val="2"/>
      <scheme val="minor"/>
    </font>
    <font>
      <sz val="10"/>
      <color theme="0"/>
      <name val="Calibri"/>
      <family val="2"/>
      <scheme val="minor"/>
    </font>
    <font>
      <sz val="22"/>
      <color rgb="FFFF0000"/>
      <name val="Calibri"/>
      <family val="2"/>
      <scheme val="minor"/>
    </font>
    <font>
      <sz val="22"/>
      <name val="Bahnschrift Light Condensed"/>
      <family val="2"/>
    </font>
  </fonts>
  <fills count="31">
    <fill>
      <patternFill patternType="none"/>
    </fill>
    <fill>
      <patternFill patternType="gray125"/>
    </fill>
    <fill>
      <patternFill patternType="solid">
        <fgColor theme="5" tint="0.79998168889431442"/>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249977111117893"/>
        <bgColor indexed="64"/>
      </patternFill>
    </fill>
    <fill>
      <patternFill patternType="solid">
        <fgColor theme="1"/>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5"/>
        <bgColor indexed="64"/>
      </patternFill>
    </fill>
    <fill>
      <patternFill patternType="solid">
        <fgColor rgb="FFD0CECE"/>
        <bgColor indexed="64"/>
      </patternFill>
    </fill>
    <fill>
      <patternFill patternType="solid">
        <fgColor rgb="FFFFFFFF"/>
        <bgColor indexed="64"/>
      </patternFill>
    </fill>
    <fill>
      <patternFill patternType="solid">
        <fgColor rgb="FF000000"/>
        <bgColor indexed="64"/>
      </patternFill>
    </fill>
    <fill>
      <patternFill patternType="solid">
        <fgColor theme="0"/>
        <bgColor indexed="64"/>
      </patternFill>
    </fill>
    <fill>
      <patternFill patternType="solid">
        <fgColor theme="0" tint="-0.249977111117893"/>
        <bgColor indexed="64"/>
      </patternFill>
    </fill>
    <fill>
      <patternFill patternType="solid">
        <fgColor rgb="FFC6E0B4"/>
        <bgColor indexed="64"/>
      </patternFill>
    </fill>
    <fill>
      <patternFill patternType="solid">
        <fgColor rgb="FFF2F2F2"/>
        <bgColor indexed="64"/>
      </patternFill>
    </fill>
    <fill>
      <patternFill patternType="solid">
        <fgColor rgb="FFFFE699"/>
        <bgColor indexed="64"/>
      </patternFill>
    </fill>
    <fill>
      <patternFill patternType="solid">
        <fgColor rgb="FFD9D9D9"/>
        <bgColor indexed="64"/>
      </patternFill>
    </fill>
    <fill>
      <patternFill patternType="solid">
        <fgColor rgb="FFFCBCBC"/>
        <bgColor indexed="64"/>
      </patternFill>
    </fill>
    <fill>
      <patternFill patternType="solid">
        <fgColor rgb="FFC6EFCE"/>
        <bgColor indexed="64"/>
      </patternFill>
    </fill>
    <fill>
      <patternFill patternType="solid">
        <fgColor rgb="FFFFBDC5"/>
        <bgColor indexed="64"/>
      </patternFill>
    </fill>
  </fills>
  <borders count="8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medium">
        <color rgb="FFFF0000"/>
      </left>
      <right style="medium">
        <color rgb="FFFF0000"/>
      </right>
      <top style="medium">
        <color rgb="FFFF0000"/>
      </top>
      <bottom style="medium">
        <color rgb="FFFF0000"/>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diagonal/>
    </border>
    <border>
      <left style="medium">
        <color indexed="64"/>
      </left>
      <right style="medium">
        <color indexed="64"/>
      </right>
      <top/>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style="medium">
        <color indexed="64"/>
      </left>
      <right/>
      <top/>
      <bottom/>
      <diagonal/>
    </border>
    <border>
      <left style="medium">
        <color indexed="64"/>
      </left>
      <right/>
      <top/>
      <bottom style="thin">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style="medium">
        <color indexed="64"/>
      </top>
      <bottom/>
      <diagonal/>
    </border>
    <border>
      <left style="thin">
        <color theme="5" tint="-0.249977111117893"/>
      </left>
      <right style="thin">
        <color theme="5" tint="-0.249977111117893"/>
      </right>
      <top style="thin">
        <color theme="5" tint="-0.249977111117893"/>
      </top>
      <bottom style="thin">
        <color theme="5" tint="-0.249977111117893"/>
      </bottom>
      <diagonal/>
    </border>
    <border>
      <left style="thin">
        <color theme="5" tint="-0.249977111117893"/>
      </left>
      <right/>
      <top style="thin">
        <color theme="5" tint="-0.249977111117893"/>
      </top>
      <bottom style="thin">
        <color theme="5" tint="-0.249977111117893"/>
      </bottom>
      <diagonal/>
    </border>
    <border>
      <left style="thin">
        <color indexed="64"/>
      </left>
      <right/>
      <top style="medium">
        <color indexed="64"/>
      </top>
      <bottom/>
      <diagonal/>
    </border>
    <border>
      <left style="thin">
        <color theme="5" tint="-0.249977111117893"/>
      </left>
      <right/>
      <top style="thin">
        <color theme="5" tint="-0.249977111117893"/>
      </top>
      <bottom/>
      <diagonal/>
    </border>
    <border>
      <left/>
      <right/>
      <top style="thin">
        <color theme="5" tint="-0.249977111117893"/>
      </top>
      <bottom/>
      <diagonal/>
    </border>
    <border>
      <left/>
      <right style="thin">
        <color indexed="64"/>
      </right>
      <top style="thin">
        <color theme="5" tint="-0.249977111117893"/>
      </top>
      <bottom/>
      <diagonal/>
    </border>
    <border>
      <left style="thin">
        <color theme="5" tint="-0.249977111117893"/>
      </left>
      <right/>
      <top/>
      <bottom style="thin">
        <color theme="5" tint="-0.249977111117893"/>
      </bottom>
      <diagonal/>
    </border>
    <border>
      <left/>
      <right/>
      <top/>
      <bottom style="thin">
        <color theme="5" tint="-0.249977111117893"/>
      </bottom>
      <diagonal/>
    </border>
    <border>
      <left/>
      <right style="thin">
        <color indexed="64"/>
      </right>
      <top/>
      <bottom style="thin">
        <color theme="5" tint="-0.249977111117893"/>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medium">
        <color indexed="64"/>
      </top>
      <bottom style="thin">
        <color indexed="64"/>
      </bottom>
      <diagonal/>
    </border>
  </borders>
  <cellStyleXfs count="3">
    <xf numFmtId="0" fontId="0" fillId="0" borderId="0"/>
    <xf numFmtId="9" fontId="13" fillId="0" borderId="0" applyFont="0" applyFill="0" applyBorder="0" applyAlignment="0" applyProtection="0"/>
    <xf numFmtId="44" fontId="13" fillId="0" borderId="0" applyFont="0" applyFill="0" applyBorder="0" applyAlignment="0" applyProtection="0"/>
  </cellStyleXfs>
  <cellXfs count="902">
    <xf numFmtId="0" fontId="0" fillId="0" borderId="0" xfId="0"/>
    <xf numFmtId="0" fontId="1" fillId="0" borderId="0" xfId="0" applyFont="1"/>
    <xf numFmtId="0" fontId="3" fillId="0" borderId="0" xfId="0" applyFont="1" applyAlignment="1">
      <alignment horizontal="center"/>
    </xf>
    <xf numFmtId="0" fontId="1" fillId="2" borderId="0" xfId="0" applyFont="1" applyFill="1" applyAlignment="1">
      <alignment horizontal="center"/>
    </xf>
    <xf numFmtId="0" fontId="7" fillId="2" borderId="0" xfId="0" applyFont="1" applyFill="1" applyAlignment="1">
      <alignment horizontal="center" vertical="center"/>
    </xf>
    <xf numFmtId="0" fontId="6" fillId="0" borderId="0" xfId="0" applyFont="1"/>
    <xf numFmtId="0" fontId="9" fillId="3"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1" fillId="7" borderId="4" xfId="0" applyFont="1" applyFill="1" applyBorder="1" applyAlignment="1">
      <alignment horizontal="center" vertical="center"/>
    </xf>
    <xf numFmtId="0" fontId="1" fillId="7" borderId="1" xfId="0" applyFont="1" applyFill="1" applyBorder="1" applyAlignment="1">
      <alignment horizontal="center" vertical="center"/>
    </xf>
    <xf numFmtId="0" fontId="1" fillId="0" borderId="0" xfId="0" applyFont="1" applyAlignment="1">
      <alignment horizontal="center" vertical="top"/>
    </xf>
    <xf numFmtId="0" fontId="7" fillId="0" borderId="0" xfId="0" applyFont="1" applyAlignment="1">
      <alignment horizontal="center" vertical="center" wrapText="1"/>
    </xf>
    <xf numFmtId="0" fontId="6" fillId="7" borderId="1" xfId="0" applyFont="1" applyFill="1" applyBorder="1" applyAlignment="1">
      <alignment horizontal="center" vertical="center"/>
    </xf>
    <xf numFmtId="0" fontId="12" fillId="0" borderId="0" xfId="0" applyFont="1" applyAlignment="1">
      <alignment horizontal="center" vertical="center"/>
    </xf>
    <xf numFmtId="9" fontId="6" fillId="0" borderId="1" xfId="1" applyFont="1" applyFill="1" applyBorder="1" applyAlignment="1">
      <alignment horizontal="center" vertical="center"/>
    </xf>
    <xf numFmtId="9" fontId="6" fillId="0" borderId="1" xfId="1" applyFont="1" applyBorder="1" applyAlignment="1">
      <alignment horizontal="center" vertical="center"/>
    </xf>
    <xf numFmtId="0" fontId="6" fillId="0" borderId="0" xfId="0" applyFont="1" applyAlignment="1">
      <alignment horizontal="center" vertical="center"/>
    </xf>
    <xf numFmtId="0" fontId="1" fillId="0" borderId="6" xfId="0" applyFont="1" applyBorder="1"/>
    <xf numFmtId="0" fontId="10" fillId="0" borderId="0" xfId="0" applyFont="1" applyAlignment="1">
      <alignment horizontal="center"/>
    </xf>
    <xf numFmtId="0" fontId="5" fillId="0" borderId="0" xfId="0" applyFont="1" applyAlignment="1">
      <alignment horizontal="center"/>
    </xf>
    <xf numFmtId="10" fontId="10" fillId="0" borderId="0" xfId="0" applyNumberFormat="1" applyFont="1" applyAlignment="1">
      <alignment horizontal="center" vertical="center"/>
    </xf>
    <xf numFmtId="10" fontId="1" fillId="0" borderId="0" xfId="0" applyNumberFormat="1" applyFont="1" applyAlignment="1">
      <alignment horizontal="center" vertical="center"/>
    </xf>
    <xf numFmtId="0" fontId="1" fillId="0" borderId="0" xfId="0" applyFont="1" applyAlignment="1">
      <alignment horizontal="left" wrapText="1"/>
    </xf>
    <xf numFmtId="9" fontId="1" fillId="0" borderId="0" xfId="0" applyNumberFormat="1" applyFont="1" applyAlignment="1">
      <alignment horizontal="center" vertical="center" wrapText="1"/>
    </xf>
    <xf numFmtId="0" fontId="1" fillId="12" borderId="1" xfId="0" applyFont="1" applyFill="1" applyBorder="1" applyAlignment="1">
      <alignment horizontal="center" vertical="center"/>
    </xf>
    <xf numFmtId="0" fontId="1" fillId="0" borderId="1" xfId="0" applyFont="1" applyBorder="1" applyAlignment="1">
      <alignment horizontal="center" vertical="center" wrapText="1"/>
    </xf>
    <xf numFmtId="0" fontId="1" fillId="7" borderId="1" xfId="0" applyFont="1" applyFill="1" applyBorder="1" applyAlignment="1">
      <alignment horizontal="center" vertical="center" wrapText="1"/>
    </xf>
    <xf numFmtId="0" fontId="1" fillId="0" borderId="11" xfId="0" applyFont="1" applyBorder="1" applyAlignment="1">
      <alignment horizontal="center" vertical="top" wrapText="1"/>
    </xf>
    <xf numFmtId="9" fontId="1" fillId="0" borderId="0" xfId="1" applyFont="1" applyBorder="1" applyAlignment="1">
      <alignment horizontal="center" vertical="center"/>
    </xf>
    <xf numFmtId="0" fontId="1" fillId="0" borderId="2" xfId="0" applyFont="1" applyBorder="1" applyAlignment="1">
      <alignment horizontal="center" vertical="center" wrapText="1"/>
    </xf>
    <xf numFmtId="0" fontId="1" fillId="3" borderId="2" xfId="0" applyFont="1" applyFill="1" applyBorder="1" applyAlignment="1">
      <alignment horizontal="center" vertical="center"/>
    </xf>
    <xf numFmtId="0" fontId="1" fillId="4" borderId="2" xfId="0" applyFont="1" applyFill="1" applyBorder="1" applyAlignment="1">
      <alignment horizontal="center" vertical="center" wrapText="1"/>
    </xf>
    <xf numFmtId="0" fontId="1" fillId="5" borderId="2"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0" borderId="2" xfId="0" applyFont="1" applyBorder="1" applyAlignment="1">
      <alignment horizontal="center" vertical="center"/>
    </xf>
    <xf numFmtId="0" fontId="1" fillId="2" borderId="0" xfId="1" applyNumberFormat="1" applyFont="1" applyFill="1" applyAlignment="1">
      <alignment horizontal="center"/>
    </xf>
    <xf numFmtId="0" fontId="1" fillId="2" borderId="0" xfId="0" applyFont="1" applyFill="1" applyAlignment="1">
      <alignment horizontal="center" vertical="center"/>
    </xf>
    <xf numFmtId="0" fontId="1" fillId="2" borderId="0" xfId="1" applyNumberFormat="1" applyFont="1" applyFill="1" applyAlignment="1">
      <alignment horizontal="center" vertical="center"/>
    </xf>
    <xf numFmtId="0" fontId="15" fillId="0" borderId="0" xfId="0" applyFont="1" applyAlignment="1">
      <alignment vertical="center" wrapText="1"/>
    </xf>
    <xf numFmtId="0" fontId="1" fillId="0" borderId="1" xfId="0" applyFont="1" applyBorder="1" applyAlignment="1">
      <alignment vertical="center"/>
    </xf>
    <xf numFmtId="0" fontId="3" fillId="0" borderId="0" xfId="0" applyFont="1" applyAlignment="1">
      <alignment horizontal="center" vertical="center" wrapText="1"/>
    </xf>
    <xf numFmtId="0" fontId="14" fillId="12" borderId="1" xfId="0" applyFont="1" applyFill="1" applyBorder="1" applyAlignment="1">
      <alignment horizontal="center" vertical="center"/>
    </xf>
    <xf numFmtId="0" fontId="15" fillId="0" borderId="0" xfId="0" applyFont="1" applyAlignment="1">
      <alignment horizontal="left" vertical="top" wrapText="1"/>
    </xf>
    <xf numFmtId="0" fontId="1" fillId="0" borderId="0" xfId="0" applyFont="1" applyAlignment="1">
      <alignment horizontal="left" vertical="top"/>
    </xf>
    <xf numFmtId="0" fontId="7" fillId="0" borderId="0" xfId="0" applyFont="1" applyAlignment="1">
      <alignment horizontal="left" vertical="top" wrapText="1"/>
    </xf>
    <xf numFmtId="0" fontId="9" fillId="0" borderId="0" xfId="0" applyFont="1" applyAlignment="1">
      <alignment horizontal="center" vertical="center" wrapText="1"/>
    </xf>
    <xf numFmtId="0" fontId="1" fillId="0" borderId="0" xfId="0" applyFont="1" applyAlignment="1">
      <alignment horizontal="center" vertical="center" wrapText="1"/>
    </xf>
    <xf numFmtId="0" fontId="19" fillId="11" borderId="1" xfId="0" applyFont="1" applyFill="1" applyBorder="1" applyAlignment="1">
      <alignment horizontal="center" vertical="center"/>
    </xf>
    <xf numFmtId="0" fontId="19" fillId="8" borderId="1" xfId="0" applyFont="1" applyFill="1" applyBorder="1" applyAlignment="1">
      <alignment horizontal="center" vertical="center"/>
    </xf>
    <xf numFmtId="0" fontId="25" fillId="0" borderId="0" xfId="0" applyFont="1"/>
    <xf numFmtId="0" fontId="17" fillId="10" borderId="19" xfId="0" applyFont="1" applyFill="1" applyBorder="1" applyAlignment="1">
      <alignment horizontal="center" vertical="center"/>
    </xf>
    <xf numFmtId="0" fontId="2" fillId="0" borderId="19" xfId="0" applyFont="1" applyBorder="1" applyAlignment="1">
      <alignment horizontal="center" vertical="center"/>
    </xf>
    <xf numFmtId="2" fontId="2" fillId="0" borderId="0" xfId="0" applyNumberFormat="1" applyFont="1" applyAlignment="1">
      <alignment horizontal="center" vertical="center"/>
    </xf>
    <xf numFmtId="0" fontId="7" fillId="0" borderId="0" xfId="0" applyFont="1" applyAlignment="1">
      <alignment horizontal="center" vertical="top" wrapText="1"/>
    </xf>
    <xf numFmtId="1" fontId="2" fillId="0" borderId="19" xfId="0" applyNumberFormat="1" applyFont="1" applyBorder="1" applyAlignment="1">
      <alignment horizontal="center" vertical="center"/>
    </xf>
    <xf numFmtId="0" fontId="10" fillId="10" borderId="1" xfId="0" applyFont="1" applyFill="1" applyBorder="1" applyAlignment="1">
      <alignment horizontal="center" vertical="center"/>
    </xf>
    <xf numFmtId="0" fontId="29" fillId="0" borderId="19" xfId="0" applyFont="1" applyBorder="1" applyAlignment="1">
      <alignment horizontal="center" vertical="center"/>
    </xf>
    <xf numFmtId="0" fontId="1" fillId="0" borderId="1" xfId="0" applyFont="1" applyBorder="1" applyAlignment="1">
      <alignment horizontal="center" vertical="center"/>
    </xf>
    <xf numFmtId="0" fontId="27" fillId="10" borderId="2" xfId="0" applyFont="1" applyFill="1" applyBorder="1" applyAlignment="1">
      <alignment horizontal="center"/>
    </xf>
    <xf numFmtId="0" fontId="27" fillId="10" borderId="31" xfId="0" applyFont="1" applyFill="1" applyBorder="1" applyAlignment="1">
      <alignment horizontal="center"/>
    </xf>
    <xf numFmtId="0" fontId="27" fillId="10" borderId="32" xfId="0" applyFont="1" applyFill="1" applyBorder="1" applyAlignment="1">
      <alignment horizontal="center"/>
    </xf>
    <xf numFmtId="0" fontId="7" fillId="0" borderId="0" xfId="0" applyFont="1" applyAlignment="1">
      <alignment horizontal="center" vertical="center"/>
    </xf>
    <xf numFmtId="0" fontId="1" fillId="0" borderId="0" xfId="0" applyFont="1" applyAlignment="1">
      <alignment horizontal="center" vertical="center"/>
    </xf>
    <xf numFmtId="0" fontId="1" fillId="0" borderId="0" xfId="1" applyNumberFormat="1" applyFont="1" applyFill="1" applyAlignment="1">
      <alignment horizontal="center" vertical="center"/>
    </xf>
    <xf numFmtId="0" fontId="30" fillId="12" borderId="1" xfId="0" applyFont="1" applyFill="1" applyBorder="1" applyAlignment="1">
      <alignment horizontal="center" vertical="center"/>
    </xf>
    <xf numFmtId="0" fontId="6" fillId="12" borderId="1" xfId="0" applyFont="1" applyFill="1" applyBorder="1" applyAlignment="1">
      <alignment horizontal="center" vertical="center"/>
    </xf>
    <xf numFmtId="0" fontId="24" fillId="11" borderId="1" xfId="0" applyFont="1" applyFill="1" applyBorder="1" applyAlignment="1">
      <alignment horizontal="center" vertical="center"/>
    </xf>
    <xf numFmtId="0" fontId="24" fillId="8" borderId="1" xfId="0" applyFont="1" applyFill="1" applyBorder="1" applyAlignment="1">
      <alignment horizontal="center" vertical="center"/>
    </xf>
    <xf numFmtId="0" fontId="1" fillId="0" borderId="0" xfId="0" applyFont="1" applyAlignment="1">
      <alignment horizontal="center"/>
    </xf>
    <xf numFmtId="0" fontId="4" fillId="0" borderId="0" xfId="0" applyFont="1" applyAlignment="1">
      <alignment horizontal="center"/>
    </xf>
    <xf numFmtId="0" fontId="1" fillId="0" borderId="0" xfId="0" applyFont="1" applyAlignment="1">
      <alignment horizontal="center" vertical="top" wrapText="1"/>
    </xf>
    <xf numFmtId="0" fontId="15" fillId="0" borderId="0" xfId="0" applyFont="1" applyAlignment="1">
      <alignment horizontal="center" vertical="top" wrapText="1"/>
    </xf>
    <xf numFmtId="0" fontId="3" fillId="0" borderId="0" xfId="0" applyFont="1" applyAlignment="1">
      <alignment horizontal="center" vertical="center"/>
    </xf>
    <xf numFmtId="0" fontId="12" fillId="0" borderId="0" xfId="0" applyFont="1" applyAlignment="1">
      <alignment horizontal="center" vertical="top"/>
    </xf>
    <xf numFmtId="0" fontId="1" fillId="6"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5" borderId="1" xfId="0" applyFont="1" applyFill="1" applyBorder="1" applyAlignment="1">
      <alignment horizontal="center" vertical="center"/>
    </xf>
    <xf numFmtId="0" fontId="1" fillId="0" borderId="0" xfId="0" applyFont="1" applyAlignment="1">
      <alignment horizontal="left" vertical="top" wrapText="1"/>
    </xf>
    <xf numFmtId="0" fontId="20" fillId="10" borderId="2" xfId="0" applyFont="1" applyFill="1" applyBorder="1" applyAlignment="1">
      <alignment horizontal="center"/>
    </xf>
    <xf numFmtId="0" fontId="20" fillId="10" borderId="1" xfId="0" applyFont="1" applyFill="1" applyBorder="1" applyAlignment="1">
      <alignment horizontal="center"/>
    </xf>
    <xf numFmtId="0" fontId="24" fillId="0" borderId="1" xfId="0" applyFont="1" applyBorder="1" applyAlignment="1">
      <alignment horizontal="center" vertical="center"/>
    </xf>
    <xf numFmtId="0" fontId="14" fillId="0" borderId="1" xfId="0" applyFont="1" applyBorder="1" applyAlignment="1">
      <alignment horizontal="center" vertical="center"/>
    </xf>
    <xf numFmtId="1" fontId="1" fillId="0" borderId="0" xfId="0" applyNumberFormat="1" applyFont="1" applyAlignment="1">
      <alignment horizontal="center" vertical="center"/>
    </xf>
    <xf numFmtId="1" fontId="1" fillId="0" borderId="0" xfId="0" applyNumberFormat="1" applyFont="1"/>
    <xf numFmtId="0" fontId="3" fillId="0" borderId="0" xfId="0" applyFont="1" applyAlignment="1">
      <alignment vertical="center"/>
    </xf>
    <xf numFmtId="0" fontId="17" fillId="10" borderId="25" xfId="0" applyFont="1" applyFill="1" applyBorder="1" applyAlignment="1">
      <alignment horizontal="center" vertical="center"/>
    </xf>
    <xf numFmtId="0" fontId="16" fillId="0" borderId="19" xfId="0" applyFont="1" applyBorder="1" applyAlignment="1">
      <alignment horizontal="center" vertical="center"/>
    </xf>
    <xf numFmtId="0" fontId="18" fillId="10" borderId="19" xfId="0" applyFont="1" applyFill="1" applyBorder="1" applyAlignment="1">
      <alignment horizontal="center" vertical="center"/>
    </xf>
    <xf numFmtId="0" fontId="17" fillId="0" borderId="0" xfId="0" applyFont="1" applyAlignment="1">
      <alignment horizontal="center" vertical="center"/>
    </xf>
    <xf numFmtId="0" fontId="29" fillId="0" borderId="0" xfId="0" applyFont="1" applyAlignment="1">
      <alignment horizontal="center" vertical="center"/>
    </xf>
    <xf numFmtId="0" fontId="18" fillId="0" borderId="0" xfId="0" applyFont="1" applyAlignment="1">
      <alignment horizontal="center" vertical="center"/>
    </xf>
    <xf numFmtId="0" fontId="16" fillId="0" borderId="0" xfId="0" applyFont="1" applyAlignment="1">
      <alignment horizontal="center" vertical="center"/>
    </xf>
    <xf numFmtId="0" fontId="1" fillId="0" borderId="0" xfId="0" applyFont="1" applyAlignment="1">
      <alignment vertical="center"/>
    </xf>
    <xf numFmtId="1" fontId="1" fillId="0" borderId="0" xfId="0" applyNumberFormat="1" applyFont="1" applyAlignment="1">
      <alignment vertical="center"/>
    </xf>
    <xf numFmtId="0" fontId="2" fillId="0" borderId="25" xfId="0" applyFont="1" applyBorder="1" applyAlignment="1">
      <alignment horizontal="center" vertical="center"/>
    </xf>
    <xf numFmtId="9" fontId="1" fillId="0" borderId="0" xfId="1" applyFont="1" applyFill="1" applyBorder="1" applyAlignment="1">
      <alignment horizontal="center" vertical="center"/>
    </xf>
    <xf numFmtId="0" fontId="10" fillId="0" borderId="0" xfId="0" applyFont="1"/>
    <xf numFmtId="0" fontId="38" fillId="0" borderId="19" xfId="0" applyFont="1" applyBorder="1" applyAlignment="1">
      <alignment horizontal="center" vertical="center"/>
    </xf>
    <xf numFmtId="1" fontId="38" fillId="0" borderId="19" xfId="0" applyNumberFormat="1" applyFont="1" applyBorder="1" applyAlignment="1">
      <alignment horizontal="center" vertical="center"/>
    </xf>
    <xf numFmtId="0" fontId="8" fillId="0" borderId="0" xfId="0" applyFont="1" applyAlignment="1">
      <alignment vertical="center"/>
    </xf>
    <xf numFmtId="0" fontId="2" fillId="0" borderId="0" xfId="0" applyFont="1" applyAlignment="1">
      <alignment vertical="center"/>
    </xf>
    <xf numFmtId="0" fontId="24" fillId="2" borderId="3" xfId="0" applyFont="1" applyFill="1" applyBorder="1" applyAlignment="1">
      <alignment horizontal="center" vertical="center"/>
    </xf>
    <xf numFmtId="0" fontId="24" fillId="2" borderId="1" xfId="0" applyFont="1" applyFill="1" applyBorder="1" applyAlignment="1">
      <alignment horizontal="center" vertical="center"/>
    </xf>
    <xf numFmtId="0" fontId="38" fillId="0" borderId="0" xfId="0" applyFont="1" applyAlignment="1">
      <alignment horizontal="center" vertical="center"/>
    </xf>
    <xf numFmtId="0" fontId="2" fillId="0" borderId="0" xfId="0" applyFont="1" applyAlignment="1">
      <alignment horizontal="center" vertical="center"/>
    </xf>
    <xf numFmtId="9" fontId="1" fillId="2" borderId="0" xfId="0" applyNumberFormat="1" applyFont="1" applyFill="1" applyAlignment="1">
      <alignment horizontal="center" vertical="center" wrapText="1"/>
    </xf>
    <xf numFmtId="0" fontId="7" fillId="2" borderId="0" xfId="0" applyFont="1" applyFill="1" applyAlignment="1">
      <alignment horizontal="center" vertical="center" wrapText="1"/>
    </xf>
    <xf numFmtId="0" fontId="1" fillId="2" borderId="0" xfId="0" applyFont="1" applyFill="1"/>
    <xf numFmtId="0" fontId="1" fillId="6" borderId="0" xfId="0" applyFont="1" applyFill="1"/>
    <xf numFmtId="0" fontId="3" fillId="6" borderId="0" xfId="0" applyFont="1" applyFill="1" applyAlignment="1">
      <alignment horizontal="center"/>
    </xf>
    <xf numFmtId="0" fontId="23" fillId="6" borderId="0" xfId="1" applyNumberFormat="1" applyFont="1" applyFill="1" applyBorder="1" applyAlignment="1">
      <alignment horizontal="center" vertical="center" wrapText="1"/>
    </xf>
    <xf numFmtId="0" fontId="14" fillId="7" borderId="1" xfId="0" applyFont="1" applyFill="1" applyBorder="1" applyAlignment="1">
      <alignment horizontal="center" vertical="center"/>
    </xf>
    <xf numFmtId="0" fontId="24" fillId="7" borderId="1" xfId="0" applyFont="1" applyFill="1" applyBorder="1" applyAlignment="1">
      <alignment horizontal="center" vertical="center"/>
    </xf>
    <xf numFmtId="0" fontId="10" fillId="2" borderId="0" xfId="0" applyFont="1" applyFill="1"/>
    <xf numFmtId="0" fontId="39" fillId="0" borderId="0" xfId="0" applyFont="1" applyAlignment="1">
      <alignment vertical="center"/>
    </xf>
    <xf numFmtId="9" fontId="14" fillId="0" borderId="0" xfId="0" applyNumberFormat="1" applyFont="1" applyAlignment="1">
      <alignment horizontal="center" vertical="center" wrapText="1"/>
    </xf>
    <xf numFmtId="0" fontId="24" fillId="0" borderId="0" xfId="0" applyFont="1" applyAlignment="1">
      <alignment vertical="center"/>
    </xf>
    <xf numFmtId="0" fontId="6" fillId="0" borderId="0" xfId="0" applyFont="1" applyAlignment="1">
      <alignment horizontal="center"/>
    </xf>
    <xf numFmtId="0" fontId="6" fillId="6" borderId="0" xfId="0" applyFont="1" applyFill="1" applyAlignment="1">
      <alignment horizontal="center"/>
    </xf>
    <xf numFmtId="0" fontId="24" fillId="0" borderId="0" xfId="0" applyFont="1" applyAlignment="1">
      <alignment horizontal="left" vertical="center"/>
    </xf>
    <xf numFmtId="0" fontId="6" fillId="0" borderId="0" xfId="0" applyFont="1" applyAlignment="1">
      <alignment horizontal="left" vertical="center"/>
    </xf>
    <xf numFmtId="0" fontId="7" fillId="4" borderId="0" xfId="0" applyFont="1" applyFill="1" applyAlignment="1">
      <alignment horizontal="center" vertical="center"/>
    </xf>
    <xf numFmtId="0" fontId="1" fillId="0" borderId="0" xfId="0" applyFont="1" applyAlignment="1">
      <alignment vertical="top" wrapText="1"/>
    </xf>
    <xf numFmtId="0" fontId="5" fillId="0" borderId="0" xfId="0" applyFont="1" applyAlignment="1">
      <alignment horizontal="center" vertical="center"/>
    </xf>
    <xf numFmtId="0" fontId="1" fillId="0" borderId="0" xfId="0" applyFont="1" applyAlignment="1">
      <alignment horizontal="left" vertical="center" wrapText="1"/>
    </xf>
    <xf numFmtId="0" fontId="10" fillId="0" borderId="0" xfId="0" applyFont="1" applyAlignment="1">
      <alignment horizontal="center" vertical="center"/>
    </xf>
    <xf numFmtId="0" fontId="1" fillId="12" borderId="1" xfId="0" applyFont="1" applyFill="1" applyBorder="1" applyAlignment="1">
      <alignment horizontal="center" vertical="top" wrapText="1"/>
    </xf>
    <xf numFmtId="0" fontId="4" fillId="0" borderId="0" xfId="0" applyFont="1" applyAlignment="1">
      <alignment horizontal="center" vertical="center"/>
    </xf>
    <xf numFmtId="1" fontId="1" fillId="0" borderId="1" xfId="0" applyNumberFormat="1" applyFont="1" applyBorder="1" applyAlignment="1">
      <alignment horizontal="center"/>
    </xf>
    <xf numFmtId="0" fontId="19" fillId="7" borderId="4" xfId="0" applyFont="1" applyFill="1" applyBorder="1" applyAlignment="1">
      <alignment horizontal="center" vertical="center"/>
    </xf>
    <xf numFmtId="0" fontId="19" fillId="7" borderId="1" xfId="0" applyFont="1" applyFill="1" applyBorder="1" applyAlignment="1">
      <alignment horizontal="center" vertical="center" wrapText="1"/>
    </xf>
    <xf numFmtId="0" fontId="19" fillId="0" borderId="0" xfId="0" applyFont="1"/>
    <xf numFmtId="0" fontId="16" fillId="0" borderId="0" xfId="0" applyFont="1" applyAlignment="1">
      <alignment horizontal="center" wrapText="1"/>
    </xf>
    <xf numFmtId="16" fontId="16" fillId="0" borderId="0" xfId="0" applyNumberFormat="1" applyFont="1" applyAlignment="1">
      <alignment horizontal="center" wrapText="1"/>
    </xf>
    <xf numFmtId="0" fontId="17" fillId="0" borderId="11" xfId="0" applyFont="1" applyBorder="1" applyAlignment="1">
      <alignment horizontal="center" vertical="center"/>
    </xf>
    <xf numFmtId="0" fontId="38" fillId="0" borderId="11" xfId="0" applyFont="1" applyBorder="1" applyAlignment="1">
      <alignment horizontal="center" vertical="center"/>
    </xf>
    <xf numFmtId="0" fontId="2" fillId="0" borderId="11" xfId="0" applyFont="1" applyBorder="1" applyAlignment="1">
      <alignment horizontal="center" vertical="center"/>
    </xf>
    <xf numFmtId="0" fontId="16" fillId="0" borderId="11" xfId="0" applyFont="1" applyBorder="1" applyAlignment="1">
      <alignment horizontal="center" wrapText="1"/>
    </xf>
    <xf numFmtId="16" fontId="16" fillId="0" borderId="11" xfId="0" applyNumberFormat="1" applyFont="1" applyBorder="1" applyAlignment="1">
      <alignment horizontal="center" wrapText="1"/>
    </xf>
    <xf numFmtId="0" fontId="1" fillId="0" borderId="11" xfId="0" applyFont="1" applyBorder="1"/>
    <xf numFmtId="0" fontId="1" fillId="0" borderId="11" xfId="0" applyFont="1" applyBorder="1" applyAlignment="1">
      <alignment horizontal="left" vertical="top" wrapText="1"/>
    </xf>
    <xf numFmtId="0" fontId="1" fillId="0" borderId="11" xfId="0" applyFont="1" applyBorder="1" applyAlignment="1">
      <alignment horizontal="center" vertical="center" wrapText="1"/>
    </xf>
    <xf numFmtId="0" fontId="44" fillId="0" borderId="0" xfId="0" applyFont="1" applyAlignment="1">
      <alignment horizontal="center" vertical="center"/>
    </xf>
    <xf numFmtId="0" fontId="16" fillId="0" borderId="1" xfId="0" applyFont="1" applyBorder="1" applyAlignment="1">
      <alignment horizontal="center" vertical="top" wrapText="1"/>
    </xf>
    <xf numFmtId="16" fontId="16" fillId="0" borderId="1" xfId="0" applyNumberFormat="1" applyFont="1" applyBorder="1" applyAlignment="1">
      <alignment horizontal="center" vertical="top" wrapText="1"/>
    </xf>
    <xf numFmtId="0" fontId="9" fillId="0" borderId="0" xfId="0" applyFont="1" applyAlignment="1">
      <alignment horizontal="center"/>
    </xf>
    <xf numFmtId="0" fontId="42" fillId="0" borderId="0" xfId="0" applyFont="1" applyAlignment="1">
      <alignment horizontal="center"/>
    </xf>
    <xf numFmtId="0" fontId="47" fillId="19" borderId="1" xfId="0" applyFont="1" applyFill="1" applyBorder="1" applyAlignment="1">
      <alignment horizontal="center" vertical="center"/>
    </xf>
    <xf numFmtId="0" fontId="47" fillId="0" borderId="1" xfId="0" applyFont="1" applyBorder="1" applyAlignment="1">
      <alignment horizontal="center" vertical="center"/>
    </xf>
    <xf numFmtId="0" fontId="48" fillId="0" borderId="0" xfId="0" applyFont="1" applyAlignment="1">
      <alignment horizontal="center" vertical="center"/>
    </xf>
    <xf numFmtId="0" fontId="46" fillId="0" borderId="0" xfId="0" applyFont="1" applyAlignment="1">
      <alignment horizontal="center" vertical="center"/>
    </xf>
    <xf numFmtId="20" fontId="1" fillId="0" borderId="2" xfId="0" applyNumberFormat="1" applyFont="1" applyBorder="1" applyAlignment="1">
      <alignment horizontal="center" vertical="center"/>
    </xf>
    <xf numFmtId="165" fontId="1" fillId="0" borderId="2" xfId="0" applyNumberFormat="1" applyFont="1" applyBorder="1" applyAlignment="1">
      <alignment horizontal="center" vertical="center"/>
    </xf>
    <xf numFmtId="21" fontId="1" fillId="0" borderId="2" xfId="0" applyNumberFormat="1" applyFont="1" applyBorder="1" applyAlignment="1">
      <alignment horizontal="center" vertical="center"/>
    </xf>
    <xf numFmtId="10" fontId="47" fillId="20" borderId="1" xfId="0" applyNumberFormat="1" applyFont="1" applyFill="1" applyBorder="1" applyAlignment="1">
      <alignment horizontal="center" vertical="center"/>
    </xf>
    <xf numFmtId="166" fontId="1" fillId="0" borderId="2" xfId="0" applyNumberFormat="1" applyFont="1" applyBorder="1" applyAlignment="1">
      <alignment horizontal="center" vertical="center"/>
    </xf>
    <xf numFmtId="2" fontId="1" fillId="0" borderId="1" xfId="0" applyNumberFormat="1" applyFont="1" applyBorder="1" applyAlignment="1">
      <alignment horizontal="center" vertical="center"/>
    </xf>
    <xf numFmtId="9" fontId="6" fillId="6" borderId="0" xfId="1" applyFont="1" applyFill="1" applyAlignment="1">
      <alignment horizontal="center"/>
    </xf>
    <xf numFmtId="9" fontId="1" fillId="4" borderId="0" xfId="1" applyFont="1" applyFill="1" applyAlignment="1">
      <alignment horizontal="center" vertical="center"/>
    </xf>
    <xf numFmtId="2" fontId="1" fillId="0" borderId="0" xfId="2" applyNumberFormat="1" applyFont="1"/>
    <xf numFmtId="0" fontId="40" fillId="0" borderId="0" xfId="0" applyFont="1" applyAlignment="1">
      <alignment vertical="center"/>
    </xf>
    <xf numFmtId="1" fontId="38" fillId="0" borderId="0" xfId="0" applyNumberFormat="1" applyFont="1" applyAlignment="1">
      <alignment horizontal="center" vertical="center"/>
    </xf>
    <xf numFmtId="20" fontId="1" fillId="4" borderId="2" xfId="0" applyNumberFormat="1" applyFont="1" applyFill="1" applyBorder="1" applyAlignment="1">
      <alignment horizontal="center" vertical="center" wrapText="1"/>
    </xf>
    <xf numFmtId="20" fontId="1" fillId="3" borderId="2" xfId="0" applyNumberFormat="1" applyFont="1" applyFill="1" applyBorder="1" applyAlignment="1">
      <alignment horizontal="center" vertical="center"/>
    </xf>
    <xf numFmtId="20" fontId="1" fillId="3" borderId="1" xfId="0" applyNumberFormat="1" applyFont="1" applyFill="1" applyBorder="1" applyAlignment="1">
      <alignment horizontal="center" vertical="center"/>
    </xf>
    <xf numFmtId="20" fontId="1" fillId="3" borderId="1" xfId="0" applyNumberFormat="1" applyFont="1" applyFill="1" applyBorder="1" applyAlignment="1">
      <alignment horizontal="center" vertical="center" wrapText="1"/>
    </xf>
    <xf numFmtId="20" fontId="1" fillId="4" borderId="1" xfId="0" applyNumberFormat="1" applyFont="1" applyFill="1" applyBorder="1" applyAlignment="1">
      <alignment horizontal="center" vertical="center" wrapText="1"/>
    </xf>
    <xf numFmtId="46" fontId="1" fillId="6" borderId="1" xfId="0" applyNumberFormat="1" applyFont="1" applyFill="1" applyBorder="1" applyAlignment="1">
      <alignment horizontal="center" vertical="center" wrapText="1"/>
    </xf>
    <xf numFmtId="21" fontId="1" fillId="6" borderId="1" xfId="0" applyNumberFormat="1" applyFont="1" applyFill="1" applyBorder="1" applyAlignment="1">
      <alignment horizontal="center" vertical="center" wrapText="1"/>
    </xf>
    <xf numFmtId="21" fontId="1" fillId="6" borderId="2" xfId="0" applyNumberFormat="1" applyFont="1" applyFill="1" applyBorder="1" applyAlignment="1">
      <alignment horizontal="center" vertical="center" wrapText="1"/>
    </xf>
    <xf numFmtId="20" fontId="1" fillId="5" borderId="2" xfId="0" applyNumberFormat="1" applyFont="1" applyFill="1" applyBorder="1" applyAlignment="1">
      <alignment horizontal="center" vertical="center" wrapText="1"/>
    </xf>
    <xf numFmtId="0" fontId="9" fillId="0" borderId="0" xfId="0" applyFont="1" applyAlignment="1">
      <alignment horizontal="center" vertical="center"/>
    </xf>
    <xf numFmtId="0" fontId="43" fillId="0" borderId="0" xfId="0" applyFont="1" applyAlignment="1">
      <alignment horizontal="center" vertical="center" wrapText="1"/>
    </xf>
    <xf numFmtId="0" fontId="50" fillId="0" borderId="0" xfId="0" applyFont="1" applyAlignment="1">
      <alignment horizontal="center" vertical="center"/>
    </xf>
    <xf numFmtId="3" fontId="50" fillId="0" borderId="0" xfId="0" applyNumberFormat="1" applyFont="1" applyAlignment="1">
      <alignment horizontal="center" vertical="center"/>
    </xf>
    <xf numFmtId="0" fontId="44" fillId="0" borderId="0" xfId="0" applyFont="1" applyAlignment="1">
      <alignment horizontal="center" vertical="center" wrapText="1"/>
    </xf>
    <xf numFmtId="0" fontId="49" fillId="0" borderId="0" xfId="0" applyFont="1" applyAlignment="1">
      <alignment horizontal="center" vertical="center"/>
    </xf>
    <xf numFmtId="0" fontId="1" fillId="0" borderId="4" xfId="0" applyFont="1" applyBorder="1" applyAlignment="1">
      <alignment horizontal="center" vertical="center"/>
    </xf>
    <xf numFmtId="0" fontId="19" fillId="0" borderId="0" xfId="0" applyFont="1" applyAlignment="1">
      <alignment horizontal="center" vertical="center" wrapText="1"/>
    </xf>
    <xf numFmtId="0" fontId="1" fillId="22" borderId="1" xfId="0" applyFont="1" applyFill="1" applyBorder="1" applyAlignment="1">
      <alignment horizontal="center" vertical="center"/>
    </xf>
    <xf numFmtId="22" fontId="0" fillId="0" borderId="0" xfId="0" applyNumberFormat="1"/>
    <xf numFmtId="22" fontId="0" fillId="0" borderId="12" xfId="0" applyNumberFormat="1" applyBorder="1"/>
    <xf numFmtId="0" fontId="1" fillId="22" borderId="0" xfId="0" applyFont="1" applyFill="1"/>
    <xf numFmtId="0" fontId="3" fillId="22" borderId="0" xfId="0" applyFont="1" applyFill="1" applyAlignment="1">
      <alignment vertical="center"/>
    </xf>
    <xf numFmtId="0" fontId="1" fillId="22" borderId="0" xfId="0" applyFont="1" applyFill="1" applyAlignment="1">
      <alignment horizontal="center" vertical="center"/>
    </xf>
    <xf numFmtId="0" fontId="51" fillId="0" borderId="23" xfId="0" applyFont="1" applyBorder="1" applyAlignment="1">
      <alignment horizontal="center" vertical="center"/>
    </xf>
    <xf numFmtId="0" fontId="48" fillId="25" borderId="23" xfId="0" applyFont="1" applyFill="1" applyBorder="1" applyAlignment="1">
      <alignment horizontal="center" vertical="center"/>
    </xf>
    <xf numFmtId="0" fontId="53" fillId="24" borderId="23" xfId="0" applyFont="1" applyFill="1" applyBorder="1" applyAlignment="1">
      <alignment horizontal="center" vertical="center"/>
    </xf>
    <xf numFmtId="0" fontId="48" fillId="20" borderId="23" xfId="0" applyFont="1" applyFill="1" applyBorder="1" applyAlignment="1">
      <alignment horizontal="center" vertical="center"/>
    </xf>
    <xf numFmtId="0" fontId="48" fillId="0" borderId="23" xfId="0" applyFont="1" applyBorder="1" applyAlignment="1">
      <alignment horizontal="center" vertical="center"/>
    </xf>
    <xf numFmtId="0" fontId="20" fillId="0" borderId="0" xfId="0" applyFont="1"/>
    <xf numFmtId="0" fontId="1" fillId="0" borderId="0" xfId="0" applyFont="1" applyAlignment="1">
      <alignment wrapText="1"/>
    </xf>
    <xf numFmtId="2" fontId="56" fillId="0" borderId="2" xfId="1" applyNumberFormat="1" applyFont="1" applyBorder="1" applyAlignment="1">
      <alignment horizontal="center" vertical="center"/>
    </xf>
    <xf numFmtId="2" fontId="0" fillId="0" borderId="1" xfId="1" applyNumberFormat="1" applyFont="1" applyBorder="1" applyAlignment="1">
      <alignment horizontal="center" vertical="center"/>
    </xf>
    <xf numFmtId="0" fontId="56" fillId="0" borderId="1" xfId="0" applyFont="1" applyBorder="1" applyAlignment="1">
      <alignment horizontal="left" vertical="top" wrapText="1"/>
    </xf>
    <xf numFmtId="2" fontId="56" fillId="0" borderId="1" xfId="0" applyNumberFormat="1" applyFont="1" applyBorder="1" applyAlignment="1">
      <alignment horizontal="center"/>
    </xf>
    <xf numFmtId="0" fontId="57" fillId="0" borderId="0" xfId="0" applyFont="1"/>
    <xf numFmtId="0" fontId="58" fillId="0" borderId="0" xfId="0" applyFont="1" applyAlignment="1">
      <alignment vertical="center"/>
    </xf>
    <xf numFmtId="0" fontId="55" fillId="0" borderId="0" xfId="0" applyFont="1" applyAlignment="1">
      <alignment horizontal="center" vertical="center"/>
    </xf>
    <xf numFmtId="0" fontId="60" fillId="0" borderId="0" xfId="0" applyFont="1" applyAlignment="1">
      <alignment vertical="center"/>
    </xf>
    <xf numFmtId="0" fontId="63" fillId="0" borderId="0" xfId="0" applyFont="1" applyAlignment="1">
      <alignment vertical="center"/>
    </xf>
    <xf numFmtId="0" fontId="63" fillId="0" borderId="0" xfId="0" applyFont="1" applyAlignment="1">
      <alignment horizontal="center"/>
    </xf>
    <xf numFmtId="0" fontId="63" fillId="6" borderId="0" xfId="0" applyFont="1" applyFill="1" applyAlignment="1">
      <alignment horizontal="center"/>
    </xf>
    <xf numFmtId="0" fontId="66" fillId="6" borderId="0" xfId="1" applyNumberFormat="1" applyFont="1" applyFill="1" applyBorder="1" applyAlignment="1">
      <alignment horizontal="center" vertical="center" wrapText="1"/>
    </xf>
    <xf numFmtId="0" fontId="54" fillId="10" borderId="1" xfId="0" applyFont="1" applyFill="1" applyBorder="1" applyAlignment="1">
      <alignment horizontal="center" vertical="center"/>
    </xf>
    <xf numFmtId="0" fontId="69" fillId="10" borderId="1" xfId="0" applyFont="1" applyFill="1" applyBorder="1" applyAlignment="1">
      <alignment horizontal="center"/>
    </xf>
    <xf numFmtId="0" fontId="69" fillId="10" borderId="10" xfId="0" applyFont="1" applyFill="1" applyBorder="1" applyAlignment="1">
      <alignment horizontal="center"/>
    </xf>
    <xf numFmtId="0" fontId="70" fillId="10" borderId="19" xfId="0" applyFont="1" applyFill="1" applyBorder="1" applyAlignment="1">
      <alignment horizontal="center" vertical="center"/>
    </xf>
    <xf numFmtId="0" fontId="70" fillId="0" borderId="0" xfId="0" applyFont="1" applyAlignment="1">
      <alignment horizontal="center" vertical="center"/>
    </xf>
    <xf numFmtId="0" fontId="71" fillId="0" borderId="0" xfId="0" applyFont="1" applyAlignment="1">
      <alignment horizontal="center" vertical="center"/>
    </xf>
    <xf numFmtId="0" fontId="60" fillId="0" borderId="0" xfId="0" applyFont="1" applyAlignment="1">
      <alignment horizontal="center" vertical="center"/>
    </xf>
    <xf numFmtId="0" fontId="72" fillId="0" borderId="0" xfId="0" applyFont="1" applyAlignment="1">
      <alignment horizontal="left" vertical="center"/>
    </xf>
    <xf numFmtId="0" fontId="64" fillId="0" borderId="0" xfId="0" applyFont="1" applyAlignment="1">
      <alignment vertical="center"/>
    </xf>
    <xf numFmtId="0" fontId="56" fillId="7" borderId="1" xfId="0" applyFont="1" applyFill="1" applyBorder="1" applyAlignment="1">
      <alignment horizontal="center" vertical="center"/>
    </xf>
    <xf numFmtId="0" fontId="51" fillId="0" borderId="0" xfId="0" applyFont="1" applyAlignment="1">
      <alignment horizontal="left" vertical="center"/>
    </xf>
    <xf numFmtId="9" fontId="51" fillId="0" borderId="0" xfId="1" applyFont="1" applyFill="1" applyBorder="1" applyAlignment="1">
      <alignment horizontal="left" vertical="center"/>
    </xf>
    <xf numFmtId="0" fontId="70" fillId="0" borderId="0" xfId="0" applyFont="1" applyAlignment="1">
      <alignment horizontal="left" vertical="center"/>
    </xf>
    <xf numFmtId="0" fontId="73" fillId="0" borderId="0" xfId="0" applyFont="1" applyAlignment="1">
      <alignment horizontal="left" vertical="center"/>
    </xf>
    <xf numFmtId="10" fontId="64" fillId="0" borderId="1" xfId="0" applyNumberFormat="1" applyFont="1" applyBorder="1" applyAlignment="1">
      <alignment horizontal="center" vertical="center"/>
    </xf>
    <xf numFmtId="0" fontId="55" fillId="0" borderId="0" xfId="0" applyFont="1" applyAlignment="1">
      <alignment horizontal="center" wrapText="1"/>
    </xf>
    <xf numFmtId="16" fontId="55" fillId="0" borderId="0" xfId="0" applyNumberFormat="1" applyFont="1" applyAlignment="1">
      <alignment horizontal="center" wrapText="1"/>
    </xf>
    <xf numFmtId="0" fontId="55" fillId="0" borderId="1" xfId="0" applyFont="1" applyBorder="1" applyAlignment="1">
      <alignment horizontal="center" vertical="top" wrapText="1"/>
    </xf>
    <xf numFmtId="16" fontId="55" fillId="0" borderId="1" xfId="0" applyNumberFormat="1" applyFont="1" applyBorder="1" applyAlignment="1">
      <alignment horizontal="center" vertical="top" wrapText="1"/>
    </xf>
    <xf numFmtId="0" fontId="69" fillId="0" borderId="0" xfId="0" applyFont="1"/>
    <xf numFmtId="1" fontId="71" fillId="0" borderId="19" xfId="0" applyNumberFormat="1" applyFont="1" applyBorder="1" applyAlignment="1">
      <alignment horizontal="center" vertical="center"/>
    </xf>
    <xf numFmtId="9" fontId="0" fillId="3" borderId="0" xfId="1" applyFont="1" applyFill="1" applyBorder="1" applyAlignment="1">
      <alignment horizontal="center" vertical="center"/>
    </xf>
    <xf numFmtId="0" fontId="76" fillId="0" borderId="0" xfId="0" applyFont="1" applyAlignment="1">
      <alignment horizontal="center" vertical="center" wrapText="1"/>
    </xf>
    <xf numFmtId="2" fontId="75" fillId="0" borderId="0" xfId="0" applyNumberFormat="1" applyFont="1" applyAlignment="1">
      <alignment horizontal="center" vertical="center"/>
    </xf>
    <xf numFmtId="0" fontId="48" fillId="19" borderId="1" xfId="0" applyFont="1" applyFill="1" applyBorder="1" applyAlignment="1">
      <alignment horizontal="center" vertical="center"/>
    </xf>
    <xf numFmtId="0" fontId="48" fillId="0" borderId="1" xfId="0" applyFont="1" applyBorder="1" applyAlignment="1">
      <alignment horizontal="center" vertical="center"/>
    </xf>
    <xf numFmtId="0" fontId="48" fillId="20" borderId="0" xfId="0" applyFont="1" applyFill="1" applyAlignment="1">
      <alignment vertical="center"/>
    </xf>
    <xf numFmtId="0" fontId="48" fillId="20" borderId="1" xfId="0" applyFont="1" applyFill="1" applyBorder="1" applyAlignment="1">
      <alignment horizontal="center" vertical="center"/>
    </xf>
    <xf numFmtId="0" fontId="78" fillId="21" borderId="1" xfId="0" applyFont="1" applyFill="1" applyBorder="1" applyAlignment="1">
      <alignment horizontal="center" vertical="center" wrapText="1"/>
    </xf>
    <xf numFmtId="0" fontId="78" fillId="21" borderId="4" xfId="0" applyFont="1" applyFill="1" applyBorder="1" applyAlignment="1">
      <alignment horizontal="center" vertical="center" wrapText="1"/>
    </xf>
    <xf numFmtId="0" fontId="80" fillId="0" borderId="0" xfId="0" applyFont="1" applyAlignment="1">
      <alignment vertical="center"/>
    </xf>
    <xf numFmtId="0" fontId="82" fillId="2" borderId="3" xfId="0" applyFont="1" applyFill="1" applyBorder="1" applyAlignment="1">
      <alignment horizontal="center" vertical="center"/>
    </xf>
    <xf numFmtId="0" fontId="82" fillId="0" borderId="1" xfId="0" applyFont="1" applyBorder="1" applyAlignment="1">
      <alignment horizontal="center" vertical="center"/>
    </xf>
    <xf numFmtId="0" fontId="82" fillId="7" borderId="1" xfId="0" applyFont="1" applyFill="1" applyBorder="1" applyAlignment="1">
      <alignment horizontal="center" vertical="center"/>
    </xf>
    <xf numFmtId="0" fontId="82" fillId="2" borderId="1" xfId="0" applyFont="1" applyFill="1" applyBorder="1" applyAlignment="1">
      <alignment horizontal="center" vertical="center"/>
    </xf>
    <xf numFmtId="0" fontId="81" fillId="0" borderId="0" xfId="0" applyFont="1" applyAlignment="1">
      <alignment horizontal="center" vertical="center"/>
    </xf>
    <xf numFmtId="0" fontId="56" fillId="0" borderId="0" xfId="0" applyFont="1"/>
    <xf numFmtId="0" fontId="74" fillId="0" borderId="0" xfId="0" applyFont="1" applyAlignment="1">
      <alignment horizontal="center" vertical="top" wrapText="1"/>
    </xf>
    <xf numFmtId="9" fontId="0" fillId="2" borderId="0" xfId="0" applyNumberFormat="1" applyFill="1" applyAlignment="1">
      <alignment horizontal="center" vertical="center" wrapText="1"/>
    </xf>
    <xf numFmtId="0" fontId="83" fillId="2" borderId="0" xfId="0" applyFont="1" applyFill="1" applyAlignment="1">
      <alignment horizontal="center" vertical="center" wrapText="1"/>
    </xf>
    <xf numFmtId="0" fontId="0" fillId="2" borderId="0" xfId="0" applyFill="1"/>
    <xf numFmtId="0" fontId="54" fillId="2" borderId="0" xfId="0" applyFont="1" applyFill="1"/>
    <xf numFmtId="0" fontId="0" fillId="5" borderId="0" xfId="0" applyFill="1"/>
    <xf numFmtId="0" fontId="0" fillId="0" borderId="0" xfId="0" applyAlignment="1">
      <alignment vertical="center"/>
    </xf>
    <xf numFmtId="1" fontId="0" fillId="0" borderId="0" xfId="0" applyNumberFormat="1" applyAlignment="1">
      <alignment horizontal="center" vertical="center"/>
    </xf>
    <xf numFmtId="0" fontId="0" fillId="0" borderId="0" xfId="0" applyAlignment="1">
      <alignment horizontal="center"/>
    </xf>
    <xf numFmtId="0" fontId="84" fillId="0" borderId="0" xfId="0" applyFont="1" applyAlignment="1">
      <alignment horizontal="center"/>
    </xf>
    <xf numFmtId="0" fontId="0" fillId="0" borderId="0" xfId="0" applyAlignment="1">
      <alignment horizontal="center" vertical="center"/>
    </xf>
    <xf numFmtId="0" fontId="0" fillId="7" borderId="1" xfId="0" applyFill="1" applyBorder="1" applyAlignment="1">
      <alignment horizontal="center" vertical="center"/>
    </xf>
    <xf numFmtId="0" fontId="0" fillId="0" borderId="0" xfId="0" applyAlignment="1">
      <alignment horizontal="left" vertical="top" wrapText="1"/>
    </xf>
    <xf numFmtId="0" fontId="0" fillId="0" borderId="1" xfId="0" applyBorder="1" applyAlignment="1">
      <alignment horizontal="center" vertical="center"/>
    </xf>
    <xf numFmtId="0" fontId="85" fillId="0" borderId="0" xfId="0" applyFont="1" applyAlignment="1">
      <alignment horizontal="center"/>
    </xf>
    <xf numFmtId="10" fontId="54" fillId="0" borderId="0" xfId="0" applyNumberFormat="1" applyFont="1" applyAlignment="1">
      <alignment horizontal="center" vertical="center"/>
    </xf>
    <xf numFmtId="10" fontId="0" fillId="0" borderId="0" xfId="0" applyNumberFormat="1" applyAlignment="1">
      <alignment horizontal="center" vertical="center"/>
    </xf>
    <xf numFmtId="0" fontId="0" fillId="6" borderId="0" xfId="0" applyFill="1"/>
    <xf numFmtId="0" fontId="0" fillId="22" borderId="1" xfId="0" applyFill="1" applyBorder="1" applyAlignment="1">
      <alignment horizontal="center" vertical="center"/>
    </xf>
    <xf numFmtId="1" fontId="0" fillId="0" borderId="1" xfId="0" applyNumberFormat="1" applyBorder="1" applyAlignment="1">
      <alignment horizontal="center"/>
    </xf>
    <xf numFmtId="0" fontId="0" fillId="0" borderId="0" xfId="0" applyAlignment="1">
      <alignment horizontal="center" vertical="center" wrapText="1"/>
    </xf>
    <xf numFmtId="0" fontId="0" fillId="0" borderId="11" xfId="0" applyBorder="1" applyAlignment="1">
      <alignment horizontal="left" vertical="top" wrapText="1"/>
    </xf>
    <xf numFmtId="0" fontId="0" fillId="0" borderId="0" xfId="0" applyAlignment="1">
      <alignment vertical="top" wrapText="1"/>
    </xf>
    <xf numFmtId="0" fontId="0" fillId="0" borderId="0" xfId="0" applyAlignment="1">
      <alignment vertical="center" wrapText="1"/>
    </xf>
    <xf numFmtId="0" fontId="54" fillId="0" borderId="0" xfId="0" applyFont="1" applyAlignment="1">
      <alignment horizontal="center"/>
    </xf>
    <xf numFmtId="0" fontId="0" fillId="0" borderId="0" xfId="0" applyAlignment="1">
      <alignment horizontal="left" wrapText="1"/>
    </xf>
    <xf numFmtId="0" fontId="0" fillId="0" borderId="0" xfId="0" applyAlignment="1">
      <alignment horizontal="center" vertical="top" wrapText="1"/>
    </xf>
    <xf numFmtId="0" fontId="0" fillId="0" borderId="0" xfId="0" applyAlignment="1">
      <alignment wrapText="1"/>
    </xf>
    <xf numFmtId="1" fontId="71" fillId="0" borderId="0" xfId="0" applyNumberFormat="1" applyFont="1" applyAlignment="1">
      <alignment horizontal="center" vertical="center"/>
    </xf>
    <xf numFmtId="0" fontId="55" fillId="0" borderId="0" xfId="0" applyFont="1" applyAlignment="1">
      <alignment horizontal="center"/>
    </xf>
    <xf numFmtId="0" fontId="0" fillId="3" borderId="0" xfId="0" applyFill="1"/>
    <xf numFmtId="0" fontId="0" fillId="0" borderId="1" xfId="0" applyBorder="1" applyAlignment="1">
      <alignment horizontal="center"/>
    </xf>
    <xf numFmtId="0" fontId="0" fillId="0" borderId="1" xfId="0" applyBorder="1" applyAlignment="1">
      <alignment horizontal="center" vertical="top" wrapText="1"/>
    </xf>
    <xf numFmtId="0" fontId="0" fillId="0" borderId="1" xfId="0" applyBorder="1"/>
    <xf numFmtId="2" fontId="0" fillId="0" borderId="1" xfId="0" applyNumberFormat="1" applyBorder="1" applyAlignment="1">
      <alignment horizontal="center" vertical="center"/>
    </xf>
    <xf numFmtId="2" fontId="0" fillId="0" borderId="1" xfId="0" applyNumberFormat="1" applyBorder="1" applyAlignment="1">
      <alignment horizontal="center" wrapText="1"/>
    </xf>
    <xf numFmtId="2" fontId="0" fillId="0" borderId="1" xfId="0" applyNumberFormat="1" applyBorder="1" applyAlignment="1">
      <alignment horizontal="center" vertical="top" wrapText="1"/>
    </xf>
    <xf numFmtId="2" fontId="0" fillId="0" borderId="1" xfId="0" applyNumberFormat="1" applyBorder="1" applyAlignment="1">
      <alignment horizontal="center" vertical="center" wrapText="1"/>
    </xf>
    <xf numFmtId="0" fontId="0" fillId="0" borderId="11" xfId="0" applyBorder="1" applyAlignment="1">
      <alignment horizontal="center" vertical="top" wrapText="1"/>
    </xf>
    <xf numFmtId="0" fontId="0" fillId="0" borderId="0" xfId="0" applyAlignment="1">
      <alignment horizontal="left" vertical="top"/>
    </xf>
    <xf numFmtId="0" fontId="0" fillId="0" borderId="0" xfId="0" applyAlignment="1">
      <alignment horizontal="left"/>
    </xf>
    <xf numFmtId="0" fontId="0" fillId="0" borderId="1" xfId="0" applyBorder="1" applyAlignment="1">
      <alignment horizontal="center" vertical="center" wrapText="1"/>
    </xf>
    <xf numFmtId="0" fontId="0" fillId="0" borderId="0" xfId="0" applyAlignment="1">
      <alignment horizontal="left" vertical="center"/>
    </xf>
    <xf numFmtId="0" fontId="0" fillId="0" borderId="0" xfId="0" applyAlignment="1">
      <alignment horizontal="left" vertical="center" wrapText="1"/>
    </xf>
    <xf numFmtId="0" fontId="83" fillId="2" borderId="0" xfId="0" applyFont="1" applyFill="1" applyAlignment="1">
      <alignment horizontal="center" vertical="center"/>
    </xf>
    <xf numFmtId="0" fontId="0" fillId="2" borderId="0" xfId="0" applyFill="1" applyAlignment="1">
      <alignment horizontal="center" vertical="center"/>
    </xf>
    <xf numFmtId="0" fontId="0" fillId="2" borderId="0" xfId="1" applyNumberFormat="1" applyFont="1" applyFill="1" applyAlignment="1">
      <alignment horizontal="center" vertical="center"/>
    </xf>
    <xf numFmtId="9" fontId="0" fillId="0" borderId="0" xfId="0" applyNumberFormat="1" applyAlignment="1">
      <alignment horizontal="center" vertical="center" wrapText="1"/>
    </xf>
    <xf numFmtId="0" fontId="0" fillId="23" borderId="1" xfId="0" applyFill="1" applyBorder="1"/>
    <xf numFmtId="0" fontId="54" fillId="0" borderId="0" xfId="0" applyFont="1" applyAlignment="1">
      <alignment horizontal="left" vertical="top" wrapText="1"/>
    </xf>
    <xf numFmtId="0" fontId="0" fillId="12" borderId="1" xfId="0" applyFill="1" applyBorder="1" applyAlignment="1">
      <alignment horizontal="center" vertical="top" wrapText="1"/>
    </xf>
    <xf numFmtId="1" fontId="0" fillId="0" borderId="0" xfId="0" applyNumberFormat="1" applyAlignment="1">
      <alignment vertical="center"/>
    </xf>
    <xf numFmtId="0" fontId="0" fillId="0" borderId="12" xfId="0" applyBorder="1" applyAlignment="1">
      <alignment vertical="center"/>
    </xf>
    <xf numFmtId="0" fontId="71" fillId="0" borderId="12" xfId="0" applyFont="1" applyBorder="1" applyAlignment="1">
      <alignment horizontal="center" vertical="center"/>
    </xf>
    <xf numFmtId="0" fontId="79" fillId="0" borderId="0" xfId="0" applyFont="1" applyAlignment="1">
      <alignment horizontal="center" vertical="center"/>
    </xf>
    <xf numFmtId="0" fontId="71" fillId="0" borderId="11" xfId="0" applyFont="1" applyBorder="1" applyAlignment="1">
      <alignment horizontal="center" vertical="center"/>
    </xf>
    <xf numFmtId="0" fontId="60" fillId="0" borderId="11" xfId="0" applyFont="1" applyBorder="1" applyAlignment="1">
      <alignment horizontal="center" vertical="center"/>
    </xf>
    <xf numFmtId="0" fontId="55" fillId="0" borderId="11" xfId="0" applyFont="1" applyBorder="1" applyAlignment="1">
      <alignment horizontal="center" wrapText="1"/>
    </xf>
    <xf numFmtId="16" fontId="55" fillId="0" borderId="11" xfId="0" applyNumberFormat="1" applyFont="1" applyBorder="1" applyAlignment="1">
      <alignment horizontal="center" wrapText="1"/>
    </xf>
    <xf numFmtId="0" fontId="0" fillId="0" borderId="11" xfId="0" applyBorder="1"/>
    <xf numFmtId="0" fontId="0" fillId="0" borderId="11" xfId="0" applyBorder="1" applyAlignment="1">
      <alignment vertical="center"/>
    </xf>
    <xf numFmtId="1" fontId="0" fillId="0" borderId="11" xfId="0" applyNumberFormat="1" applyBorder="1" applyAlignment="1">
      <alignment vertical="center"/>
    </xf>
    <xf numFmtId="0" fontId="57" fillId="0" borderId="0" xfId="0" applyFont="1" applyAlignment="1">
      <alignment horizontal="center" vertical="center" wrapText="1"/>
    </xf>
    <xf numFmtId="0" fontId="48" fillId="0" borderId="0" xfId="0" applyFont="1" applyAlignment="1">
      <alignment horizontal="center" vertical="center" wrapText="1"/>
    </xf>
    <xf numFmtId="165" fontId="0" fillId="0" borderId="0" xfId="0" applyNumberFormat="1" applyAlignment="1">
      <alignment horizontal="center" vertical="center"/>
    </xf>
    <xf numFmtId="0" fontId="84" fillId="0" borderId="0" xfId="0" applyFont="1" applyAlignment="1">
      <alignment horizontal="center" vertical="center"/>
    </xf>
    <xf numFmtId="9" fontId="0" fillId="0" borderId="0" xfId="1" applyFont="1" applyBorder="1" applyAlignment="1">
      <alignment horizontal="center" vertical="center"/>
    </xf>
    <xf numFmtId="0" fontId="83" fillId="0" borderId="0" xfId="0" applyFont="1" applyAlignment="1">
      <alignment horizontal="center" vertical="center" wrapText="1"/>
    </xf>
    <xf numFmtId="21" fontId="0" fillId="0" borderId="0" xfId="0" applyNumberFormat="1" applyAlignment="1">
      <alignment horizontal="center" vertical="center"/>
    </xf>
    <xf numFmtId="2" fontId="0" fillId="0" borderId="0" xfId="2" applyNumberFormat="1" applyFont="1"/>
    <xf numFmtId="0" fontId="85" fillId="0" borderId="0" xfId="0" applyFont="1" applyAlignment="1">
      <alignment horizontal="center" vertical="center"/>
    </xf>
    <xf numFmtId="0" fontId="83" fillId="0" borderId="0" xfId="0" applyFont="1" applyAlignment="1">
      <alignment horizontal="center" vertical="center"/>
    </xf>
    <xf numFmtId="0" fontId="0" fillId="0" borderId="0" xfId="1" applyNumberFormat="1" applyFont="1" applyFill="1" applyAlignment="1">
      <alignment horizontal="center" vertical="center"/>
    </xf>
    <xf numFmtId="0" fontId="54" fillId="0" borderId="0" xfId="0" applyFont="1" applyAlignment="1">
      <alignment horizontal="center" vertical="center"/>
    </xf>
    <xf numFmtId="0" fontId="54" fillId="0" borderId="0" xfId="0" applyFont="1" applyAlignment="1">
      <alignment vertical="center"/>
    </xf>
    <xf numFmtId="0" fontId="56" fillId="0" borderId="1" xfId="0" applyFont="1" applyBorder="1" applyAlignment="1">
      <alignment horizontal="center" vertical="center"/>
    </xf>
    <xf numFmtId="0" fontId="9" fillId="0" borderId="1" xfId="0" applyFont="1" applyBorder="1" applyAlignment="1">
      <alignment horizontal="center" vertical="center" wrapText="1"/>
    </xf>
    <xf numFmtId="165" fontId="1" fillId="3" borderId="2" xfId="0" applyNumberFormat="1" applyFont="1" applyFill="1" applyBorder="1" applyAlignment="1">
      <alignment horizontal="center" vertical="center"/>
    </xf>
    <xf numFmtId="165" fontId="1" fillId="4" borderId="2" xfId="0" applyNumberFormat="1" applyFont="1" applyFill="1" applyBorder="1" applyAlignment="1">
      <alignment horizontal="center" vertical="center"/>
    </xf>
    <xf numFmtId="165" fontId="1" fillId="5" borderId="2" xfId="0" applyNumberFormat="1" applyFont="1" applyFill="1" applyBorder="1" applyAlignment="1">
      <alignment horizontal="center" vertical="center"/>
    </xf>
    <xf numFmtId="0" fontId="1" fillId="6" borderId="2" xfId="0" applyFont="1" applyFill="1" applyBorder="1" applyAlignment="1">
      <alignment horizontal="center" vertical="center"/>
    </xf>
    <xf numFmtId="165" fontId="1" fillId="6" borderId="2" xfId="0" applyNumberFormat="1" applyFont="1" applyFill="1" applyBorder="1" applyAlignment="1">
      <alignment horizontal="center" vertical="center"/>
    </xf>
    <xf numFmtId="0" fontId="19" fillId="7" borderId="69" xfId="0" applyFont="1" applyFill="1" applyBorder="1" applyAlignment="1">
      <alignment horizontal="center" vertical="center" wrapText="1"/>
    </xf>
    <xf numFmtId="0" fontId="19" fillId="7" borderId="70" xfId="0" applyFont="1" applyFill="1" applyBorder="1" applyAlignment="1">
      <alignment horizontal="center" vertical="center" wrapText="1"/>
    </xf>
    <xf numFmtId="0" fontId="1" fillId="0" borderId="72" xfId="0" applyFont="1" applyBorder="1" applyAlignment="1">
      <alignment horizontal="center" vertical="center"/>
    </xf>
    <xf numFmtId="0" fontId="1" fillId="22" borderId="72" xfId="0" applyFont="1" applyFill="1" applyBorder="1" applyAlignment="1">
      <alignment horizontal="center" vertical="center"/>
    </xf>
    <xf numFmtId="21" fontId="1" fillId="6" borderId="74" xfId="0" applyNumberFormat="1" applyFont="1" applyFill="1" applyBorder="1" applyAlignment="1">
      <alignment horizontal="center" vertical="center"/>
    </xf>
    <xf numFmtId="0" fontId="1" fillId="0" borderId="75" xfId="0" applyFont="1" applyBorder="1" applyAlignment="1">
      <alignment horizontal="center" vertical="center"/>
    </xf>
    <xf numFmtId="0" fontId="57" fillId="7" borderId="69" xfId="0" applyFont="1" applyFill="1" applyBorder="1" applyAlignment="1">
      <alignment horizontal="center" vertical="center"/>
    </xf>
    <xf numFmtId="0" fontId="57" fillId="7" borderId="70" xfId="0" applyFont="1" applyFill="1" applyBorder="1" applyAlignment="1">
      <alignment horizontal="center" vertical="center"/>
    </xf>
    <xf numFmtId="20" fontId="0" fillId="3" borderId="2" xfId="0" applyNumberFormat="1" applyFill="1" applyBorder="1" applyAlignment="1">
      <alignment horizontal="center" vertical="center"/>
    </xf>
    <xf numFmtId="20" fontId="0" fillId="3" borderId="76" xfId="0" applyNumberFormat="1" applyFill="1" applyBorder="1" applyAlignment="1">
      <alignment horizontal="center" vertical="center"/>
    </xf>
    <xf numFmtId="20" fontId="0" fillId="3" borderId="1" xfId="0" applyNumberFormat="1" applyFill="1" applyBorder="1" applyAlignment="1">
      <alignment horizontal="center" vertical="center" wrapText="1"/>
    </xf>
    <xf numFmtId="20" fontId="0" fillId="3" borderId="1" xfId="0" applyNumberFormat="1" applyFill="1" applyBorder="1" applyAlignment="1">
      <alignment horizontal="center" vertical="center"/>
    </xf>
    <xf numFmtId="20" fontId="0" fillId="3" borderId="72" xfId="0" applyNumberFormat="1" applyFill="1" applyBorder="1" applyAlignment="1">
      <alignment horizontal="center" vertical="center" wrapText="1"/>
    </xf>
    <xf numFmtId="20" fontId="0" fillId="3" borderId="72" xfId="0" applyNumberFormat="1" applyFill="1" applyBorder="1" applyAlignment="1">
      <alignment horizontal="center" vertical="center"/>
    </xf>
    <xf numFmtId="20" fontId="0" fillId="4" borderId="1" xfId="0" applyNumberFormat="1" applyFill="1" applyBorder="1" applyAlignment="1">
      <alignment horizontal="center" vertical="center" wrapText="1"/>
    </xf>
    <xf numFmtId="20" fontId="0" fillId="4" borderId="72" xfId="0" applyNumberFormat="1" applyFill="1" applyBorder="1" applyAlignment="1">
      <alignment horizontal="center" vertical="center" wrapText="1"/>
    </xf>
    <xf numFmtId="20" fontId="0" fillId="5" borderId="2" xfId="0" applyNumberFormat="1" applyFill="1" applyBorder="1" applyAlignment="1">
      <alignment horizontal="center" vertical="center" wrapText="1"/>
    </xf>
    <xf numFmtId="20" fontId="0" fillId="5" borderId="76" xfId="0" applyNumberFormat="1" applyFill="1" applyBorder="1" applyAlignment="1">
      <alignment horizontal="center" vertical="center" wrapText="1"/>
    </xf>
    <xf numFmtId="0" fontId="0" fillId="6" borderId="1" xfId="0" applyFill="1" applyBorder="1" applyAlignment="1">
      <alignment horizontal="center" vertical="center" wrapText="1"/>
    </xf>
    <xf numFmtId="1" fontId="0" fillId="6" borderId="72" xfId="0" applyNumberFormat="1" applyFill="1" applyBorder="1" applyAlignment="1">
      <alignment horizontal="center" vertical="center" wrapText="1"/>
    </xf>
    <xf numFmtId="46" fontId="0" fillId="6" borderId="77" xfId="0" applyNumberFormat="1" applyFill="1" applyBorder="1" applyAlignment="1">
      <alignment horizontal="center" vertical="center" wrapText="1"/>
    </xf>
    <xf numFmtId="21" fontId="0" fillId="6" borderId="77" xfId="0" applyNumberFormat="1" applyFill="1" applyBorder="1" applyAlignment="1">
      <alignment horizontal="center" vertical="center" wrapText="1"/>
    </xf>
    <xf numFmtId="21" fontId="0" fillId="6" borderId="75" xfId="0" applyNumberFormat="1" applyFill="1" applyBorder="1" applyAlignment="1">
      <alignment horizontal="center" vertical="center" wrapText="1"/>
    </xf>
    <xf numFmtId="0" fontId="0" fillId="22" borderId="0" xfId="0" applyFill="1"/>
    <xf numFmtId="0" fontId="70" fillId="10" borderId="25" xfId="0" applyFont="1" applyFill="1" applyBorder="1" applyAlignment="1">
      <alignment horizontal="center" vertical="center"/>
    </xf>
    <xf numFmtId="1" fontId="71" fillId="0" borderId="25" xfId="0" applyNumberFormat="1" applyFont="1" applyBorder="1" applyAlignment="1">
      <alignment horizontal="center" vertical="center"/>
    </xf>
    <xf numFmtId="0" fontId="54" fillId="10" borderId="10" xfId="0" applyFont="1" applyFill="1" applyBorder="1" applyAlignment="1">
      <alignment horizontal="center" vertical="center"/>
    </xf>
    <xf numFmtId="0" fontId="54" fillId="10" borderId="31" xfId="0" applyFont="1" applyFill="1" applyBorder="1" applyAlignment="1">
      <alignment horizontal="center" vertical="center"/>
    </xf>
    <xf numFmtId="0" fontId="54" fillId="10" borderId="2" xfId="0" applyFont="1" applyFill="1" applyBorder="1" applyAlignment="1">
      <alignment horizontal="center" vertical="center"/>
    </xf>
    <xf numFmtId="0" fontId="0" fillId="0" borderId="10" xfId="0" applyBorder="1" applyAlignment="1">
      <alignment horizontal="center" vertical="center"/>
    </xf>
    <xf numFmtId="0" fontId="0" fillId="0" borderId="2" xfId="0" applyBorder="1" applyAlignment="1">
      <alignment horizontal="center" vertical="center"/>
    </xf>
    <xf numFmtId="164" fontId="0" fillId="0" borderId="1" xfId="0" applyNumberFormat="1" applyBorder="1" applyAlignment="1">
      <alignment horizontal="center" vertical="center"/>
    </xf>
    <xf numFmtId="0" fontId="0" fillId="0" borderId="10" xfId="0" applyBorder="1" applyAlignment="1">
      <alignment horizontal="center"/>
    </xf>
    <xf numFmtId="0" fontId="0" fillId="0" borderId="2" xfId="0" applyBorder="1" applyAlignment="1">
      <alignment horizontal="center"/>
    </xf>
    <xf numFmtId="0" fontId="54" fillId="10" borderId="10" xfId="0" applyFont="1" applyFill="1" applyBorder="1" applyAlignment="1">
      <alignment horizontal="center"/>
    </xf>
    <xf numFmtId="0" fontId="54" fillId="10" borderId="31" xfId="0" applyFont="1" applyFill="1" applyBorder="1" applyAlignment="1">
      <alignment horizontal="center"/>
    </xf>
    <xf numFmtId="0" fontId="54" fillId="10" borderId="2" xfId="0" applyFont="1" applyFill="1" applyBorder="1" applyAlignment="1">
      <alignment horizontal="center"/>
    </xf>
    <xf numFmtId="0" fontId="51" fillId="0" borderId="62" xfId="0" applyFont="1" applyBorder="1" applyAlignment="1">
      <alignment horizontal="center" vertical="center"/>
    </xf>
    <xf numFmtId="0" fontId="87" fillId="26" borderId="62" xfId="0" applyFont="1" applyFill="1" applyBorder="1" applyAlignment="1">
      <alignment horizontal="center" vertical="center"/>
    </xf>
    <xf numFmtId="0" fontId="54" fillId="10" borderId="9" xfId="0" applyFont="1" applyFill="1" applyBorder="1" applyAlignment="1">
      <alignment horizontal="center" vertical="center"/>
    </xf>
    <xf numFmtId="0" fontId="47" fillId="27" borderId="19" xfId="0" applyFont="1" applyFill="1" applyBorder="1" applyAlignment="1">
      <alignment horizontal="center" vertical="center" wrapText="1"/>
    </xf>
    <xf numFmtId="0" fontId="47" fillId="27" borderId="19" xfId="0" applyFont="1" applyFill="1" applyBorder="1" applyAlignment="1">
      <alignment horizontal="center" vertical="center"/>
    </xf>
    <xf numFmtId="0" fontId="0" fillId="0" borderId="4" xfId="0" applyBorder="1" applyAlignment="1">
      <alignment vertical="center"/>
    </xf>
    <xf numFmtId="2" fontId="0" fillId="0" borderId="1" xfId="0" applyNumberFormat="1" applyBorder="1" applyAlignment="1">
      <alignment horizontal="center"/>
    </xf>
    <xf numFmtId="0" fontId="0" fillId="0" borderId="1" xfId="0" applyBorder="1" applyAlignment="1">
      <alignment vertical="center"/>
    </xf>
    <xf numFmtId="0" fontId="0" fillId="0" borderId="1" xfId="0" applyBorder="1" applyAlignment="1">
      <alignment horizontal="left" vertical="top" wrapText="1"/>
    </xf>
    <xf numFmtId="0" fontId="0" fillId="0" borderId="18" xfId="0" applyBorder="1"/>
    <xf numFmtId="0" fontId="48" fillId="20" borderId="62" xfId="0" applyFont="1" applyFill="1" applyBorder="1" applyAlignment="1">
      <alignment horizontal="center" vertical="center"/>
    </xf>
    <xf numFmtId="20" fontId="0" fillId="3" borderId="71" xfId="0" applyNumberFormat="1" applyFill="1" applyBorder="1" applyAlignment="1">
      <alignment horizontal="center" vertical="center"/>
    </xf>
    <xf numFmtId="165" fontId="0" fillId="3" borderId="2" xfId="0" applyNumberFormat="1" applyFill="1" applyBorder="1" applyAlignment="1">
      <alignment horizontal="center" vertical="center"/>
    </xf>
    <xf numFmtId="165" fontId="0" fillId="4" borderId="2" xfId="0" applyNumberFormat="1" applyFill="1" applyBorder="1" applyAlignment="1">
      <alignment horizontal="center" vertical="center"/>
    </xf>
    <xf numFmtId="165" fontId="0" fillId="5" borderId="2" xfId="0" applyNumberFormat="1" applyFill="1" applyBorder="1" applyAlignment="1">
      <alignment horizontal="center" vertical="center"/>
    </xf>
    <xf numFmtId="165" fontId="0" fillId="6" borderId="2" xfId="0" applyNumberFormat="1" applyFill="1" applyBorder="1" applyAlignment="1">
      <alignment horizontal="center" vertical="center"/>
    </xf>
    <xf numFmtId="0" fontId="0" fillId="6" borderId="2" xfId="0" applyFill="1" applyBorder="1" applyAlignment="1">
      <alignment horizontal="center" vertical="center"/>
    </xf>
    <xf numFmtId="21" fontId="0" fillId="6" borderId="74" xfId="0" applyNumberFormat="1" applyFill="1" applyBorder="1" applyAlignment="1">
      <alignment horizontal="center" vertical="center"/>
    </xf>
    <xf numFmtId="0" fontId="0" fillId="0" borderId="72" xfId="0" applyBorder="1" applyAlignment="1">
      <alignment horizontal="center" vertical="center"/>
    </xf>
    <xf numFmtId="0" fontId="0" fillId="22" borderId="72" xfId="0" applyFill="1" applyBorder="1" applyAlignment="1">
      <alignment horizontal="center" vertical="center"/>
    </xf>
    <xf numFmtId="0" fontId="0" fillId="0" borderId="75" xfId="0" applyBorder="1" applyAlignment="1">
      <alignment horizontal="center" vertical="center"/>
    </xf>
    <xf numFmtId="0" fontId="0" fillId="16" borderId="72" xfId="0" applyFill="1" applyBorder="1" applyAlignment="1">
      <alignment horizontal="center" vertical="center"/>
    </xf>
    <xf numFmtId="0" fontId="57" fillId="7" borderId="69" xfId="0" applyFont="1" applyFill="1" applyBorder="1" applyAlignment="1">
      <alignment horizontal="center" vertical="center" wrapText="1"/>
    </xf>
    <xf numFmtId="0" fontId="57" fillId="7" borderId="70" xfId="0" applyFont="1" applyFill="1" applyBorder="1" applyAlignment="1">
      <alignment horizontal="center" vertical="center" wrapText="1"/>
    </xf>
    <xf numFmtId="0" fontId="53" fillId="29" borderId="23" xfId="0" applyFont="1" applyFill="1" applyBorder="1" applyAlignment="1">
      <alignment horizontal="center" vertical="center"/>
    </xf>
    <xf numFmtId="0" fontId="0" fillId="0" borderId="18" xfId="0" applyBorder="1" applyAlignment="1">
      <alignment horizontal="center"/>
    </xf>
    <xf numFmtId="20" fontId="0" fillId="4" borderId="2" xfId="0" applyNumberFormat="1" applyFill="1" applyBorder="1" applyAlignment="1">
      <alignment horizontal="center" vertical="center"/>
    </xf>
    <xf numFmtId="20" fontId="0" fillId="5" borderId="2" xfId="0" applyNumberFormat="1" applyFill="1" applyBorder="1" applyAlignment="1">
      <alignment horizontal="center" vertical="center"/>
    </xf>
    <xf numFmtId="166" fontId="0" fillId="6" borderId="74" xfId="0" applyNumberFormat="1" applyFill="1" applyBorder="1" applyAlignment="1">
      <alignment horizontal="center" vertical="center"/>
    </xf>
    <xf numFmtId="0" fontId="57" fillId="7" borderId="49" xfId="0" applyFont="1" applyFill="1" applyBorder="1" applyAlignment="1">
      <alignment horizontal="center" vertical="center"/>
    </xf>
    <xf numFmtId="0" fontId="48" fillId="3" borderId="78" xfId="0" applyFont="1" applyFill="1" applyBorder="1" applyAlignment="1">
      <alignment horizontal="center" vertical="center" wrapText="1"/>
    </xf>
    <xf numFmtId="0" fontId="48" fillId="4" borderId="78" xfId="0" applyFont="1" applyFill="1" applyBorder="1" applyAlignment="1">
      <alignment horizontal="center" vertical="center" wrapText="1"/>
    </xf>
    <xf numFmtId="0" fontId="48" fillId="5" borderId="78" xfId="0" applyFont="1" applyFill="1" applyBorder="1" applyAlignment="1">
      <alignment horizontal="center" vertical="center" wrapText="1"/>
    </xf>
    <xf numFmtId="0" fontId="48" fillId="6" borderId="78" xfId="0" applyFont="1" applyFill="1" applyBorder="1" applyAlignment="1">
      <alignment horizontal="center" vertical="center" wrapText="1"/>
    </xf>
    <xf numFmtId="0" fontId="48" fillId="6" borderId="79" xfId="0" applyFont="1" applyFill="1" applyBorder="1" applyAlignment="1">
      <alignment horizontal="center" vertical="center" wrapText="1"/>
    </xf>
    <xf numFmtId="0" fontId="57" fillId="7" borderId="80" xfId="0" applyFont="1" applyFill="1" applyBorder="1" applyAlignment="1">
      <alignment horizontal="center" vertical="center" wrapText="1"/>
    </xf>
    <xf numFmtId="0" fontId="57" fillId="7" borderId="68" xfId="0" applyFont="1" applyFill="1" applyBorder="1" applyAlignment="1">
      <alignment horizontal="center" vertical="center"/>
    </xf>
    <xf numFmtId="20" fontId="0" fillId="4" borderId="71" xfId="0" applyNumberFormat="1" applyFill="1" applyBorder="1" applyAlignment="1">
      <alignment horizontal="center" vertical="center" wrapText="1"/>
    </xf>
    <xf numFmtId="20" fontId="0" fillId="5" borderId="71" xfId="0" applyNumberFormat="1" applyFill="1" applyBorder="1" applyAlignment="1">
      <alignment horizontal="center" vertical="center" wrapText="1"/>
    </xf>
    <xf numFmtId="20" fontId="0" fillId="5" borderId="72" xfId="0" applyNumberFormat="1" applyFill="1" applyBorder="1" applyAlignment="1">
      <alignment horizontal="center" vertical="center" wrapText="1"/>
    </xf>
    <xf numFmtId="0" fontId="0" fillId="6" borderId="71" xfId="0" applyFill="1" applyBorder="1" applyAlignment="1">
      <alignment horizontal="center" vertical="center" wrapText="1"/>
    </xf>
    <xf numFmtId="21" fontId="0" fillId="6" borderId="73" xfId="0" applyNumberFormat="1" applyFill="1" applyBorder="1" applyAlignment="1">
      <alignment horizontal="center" vertical="center" wrapText="1"/>
    </xf>
    <xf numFmtId="0" fontId="19" fillId="7" borderId="80" xfId="0" applyFont="1" applyFill="1" applyBorder="1" applyAlignment="1">
      <alignment horizontal="center" vertical="center" wrapText="1"/>
    </xf>
    <xf numFmtId="20" fontId="0" fillId="3" borderId="2" xfId="0" applyNumberFormat="1" applyFill="1" applyBorder="1" applyAlignment="1">
      <alignment horizontal="center" vertical="center" wrapText="1"/>
    </xf>
    <xf numFmtId="0" fontId="0" fillId="7" borderId="68" xfId="0" applyFill="1" applyBorder="1" applyAlignment="1">
      <alignment horizontal="center" vertical="center"/>
    </xf>
    <xf numFmtId="0" fontId="0" fillId="7" borderId="69" xfId="0" applyFill="1" applyBorder="1" applyAlignment="1">
      <alignment horizontal="center" vertical="center"/>
    </xf>
    <xf numFmtId="0" fontId="0" fillId="7" borderId="70" xfId="0" applyFill="1" applyBorder="1" applyAlignment="1">
      <alignment horizontal="center" vertical="center"/>
    </xf>
    <xf numFmtId="46" fontId="0" fillId="6" borderId="73" xfId="0" applyNumberFormat="1" applyFill="1" applyBorder="1" applyAlignment="1">
      <alignment horizontal="center" vertical="center" wrapText="1"/>
    </xf>
    <xf numFmtId="0" fontId="0" fillId="16" borderId="1" xfId="0" applyFill="1" applyBorder="1" applyAlignment="1">
      <alignment horizontal="center" vertical="center"/>
    </xf>
    <xf numFmtId="20" fontId="1" fillId="4" borderId="2" xfId="0" applyNumberFormat="1" applyFont="1" applyFill="1" applyBorder="1" applyAlignment="1">
      <alignment horizontal="center" vertical="center"/>
    </xf>
    <xf numFmtId="20" fontId="1" fillId="5" borderId="2" xfId="0" applyNumberFormat="1" applyFont="1" applyFill="1" applyBorder="1" applyAlignment="1">
      <alignment horizontal="center" vertical="center"/>
    </xf>
    <xf numFmtId="166" fontId="1" fillId="6" borderId="74" xfId="0" applyNumberFormat="1" applyFont="1" applyFill="1" applyBorder="1" applyAlignment="1">
      <alignment horizontal="center" vertical="center"/>
    </xf>
    <xf numFmtId="0" fontId="52" fillId="28" borderId="23" xfId="0" applyFont="1" applyFill="1" applyBorder="1" applyAlignment="1">
      <alignment horizontal="center" vertical="center"/>
    </xf>
    <xf numFmtId="0" fontId="51" fillId="0" borderId="0" xfId="0" applyFont="1"/>
    <xf numFmtId="0" fontId="57" fillId="0" borderId="0" xfId="0" applyFont="1" applyAlignment="1">
      <alignment horizontal="left" vertical="top"/>
    </xf>
    <xf numFmtId="0" fontId="82" fillId="0" borderId="0" xfId="0" applyFont="1" applyAlignment="1">
      <alignment vertical="center"/>
    </xf>
    <xf numFmtId="0" fontId="51" fillId="0" borderId="0" xfId="0" applyFont="1" applyAlignment="1">
      <alignment horizontal="center"/>
    </xf>
    <xf numFmtId="0" fontId="51" fillId="0" borderId="0" xfId="0" applyFont="1" applyAlignment="1">
      <alignment vertical="top"/>
    </xf>
    <xf numFmtId="0" fontId="51" fillId="0" borderId="0" xfId="0" applyFont="1" applyAlignment="1">
      <alignment horizontal="left" vertical="top"/>
    </xf>
    <xf numFmtId="0" fontId="82" fillId="0" borderId="0" xfId="0" applyFont="1" applyAlignment="1">
      <alignment horizontal="left" vertical="center"/>
    </xf>
    <xf numFmtId="0" fontId="89" fillId="10" borderId="1" xfId="0" applyFont="1" applyFill="1" applyBorder="1" applyAlignment="1">
      <alignment horizontal="center" vertical="center"/>
    </xf>
    <xf numFmtId="0" fontId="89" fillId="10" borderId="2" xfId="0" applyFont="1" applyFill="1" applyBorder="1" applyAlignment="1">
      <alignment horizontal="center" vertical="center"/>
    </xf>
    <xf numFmtId="0" fontId="72" fillId="0" borderId="0" xfId="0" applyFont="1" applyAlignment="1">
      <alignment vertical="center"/>
    </xf>
    <xf numFmtId="0" fontId="72" fillId="0" borderId="0" xfId="0" applyFont="1" applyAlignment="1">
      <alignment vertical="top" wrapText="1"/>
    </xf>
    <xf numFmtId="0" fontId="51" fillId="0" borderId="31" xfId="0" applyFont="1" applyBorder="1" applyAlignment="1">
      <alignment horizontal="center" vertical="center"/>
    </xf>
    <xf numFmtId="2" fontId="72" fillId="0" borderId="31" xfId="0" applyNumberFormat="1" applyFont="1" applyBorder="1" applyAlignment="1">
      <alignment horizontal="center" vertical="center"/>
    </xf>
    <xf numFmtId="2" fontId="72" fillId="0" borderId="0" xfId="0" applyNumberFormat="1" applyFont="1" applyAlignment="1">
      <alignment vertical="center"/>
    </xf>
    <xf numFmtId="0" fontId="51" fillId="0" borderId="10" xfId="0" applyFont="1" applyBorder="1" applyAlignment="1">
      <alignment horizontal="center" vertical="center"/>
    </xf>
    <xf numFmtId="0" fontId="72" fillId="0" borderId="0" xfId="0" applyFont="1" applyAlignment="1">
      <alignment horizontal="left" vertical="top" wrapText="1"/>
    </xf>
    <xf numFmtId="0" fontId="51" fillId="0" borderId="0" xfId="0" applyFont="1" applyAlignment="1">
      <alignment horizontal="center" vertical="top"/>
    </xf>
    <xf numFmtId="0" fontId="0" fillId="0" borderId="0" xfId="0" applyAlignment="1">
      <alignment horizontal="center" vertical="top"/>
    </xf>
    <xf numFmtId="0" fontId="73" fillId="0" borderId="0" xfId="0" applyFont="1" applyAlignment="1">
      <alignment horizontal="center" vertical="center"/>
    </xf>
    <xf numFmtId="0" fontId="63" fillId="22" borderId="0" xfId="0" applyFont="1" applyFill="1" applyAlignment="1">
      <alignment vertical="center"/>
    </xf>
    <xf numFmtId="22" fontId="0" fillId="22" borderId="0" xfId="0" applyNumberFormat="1" applyFill="1" applyAlignment="1">
      <alignment wrapText="1"/>
    </xf>
    <xf numFmtId="22" fontId="0" fillId="22" borderId="0" xfId="0" applyNumberFormat="1" applyFill="1" applyAlignment="1">
      <alignment horizontal="center" wrapText="1"/>
    </xf>
    <xf numFmtId="20" fontId="0" fillId="5" borderId="1" xfId="0" applyNumberFormat="1" applyFill="1" applyBorder="1" applyAlignment="1">
      <alignment horizontal="center" vertical="center" wrapText="1"/>
    </xf>
    <xf numFmtId="1" fontId="0" fillId="6" borderId="1" xfId="0" applyNumberFormat="1" applyFill="1" applyBorder="1" applyAlignment="1">
      <alignment horizontal="center" vertical="center" wrapText="1"/>
    </xf>
    <xf numFmtId="0" fontId="53" fillId="24" borderId="62" xfId="0" applyFont="1" applyFill="1" applyBorder="1" applyAlignment="1">
      <alignment horizontal="center" vertical="center"/>
    </xf>
    <xf numFmtId="0" fontId="14" fillId="22" borderId="1" xfId="0" applyFont="1" applyFill="1" applyBorder="1" applyAlignment="1">
      <alignment horizontal="center" vertical="center"/>
    </xf>
    <xf numFmtId="0" fontId="34" fillId="2" borderId="0" xfId="0" applyFont="1" applyFill="1" applyAlignment="1">
      <alignment horizontal="center" vertical="center"/>
    </xf>
    <xf numFmtId="0" fontId="19" fillId="0" borderId="0" xfId="0" applyFont="1" applyAlignment="1">
      <alignment horizontal="center"/>
    </xf>
    <xf numFmtId="0" fontId="45" fillId="10" borderId="17" xfId="0" applyFont="1" applyFill="1" applyBorder="1" applyAlignment="1">
      <alignment horizontal="center" vertical="center" wrapText="1"/>
    </xf>
    <xf numFmtId="0" fontId="45" fillId="10" borderId="11" xfId="0" applyFont="1" applyFill="1" applyBorder="1" applyAlignment="1">
      <alignment horizontal="center" vertical="center" wrapText="1"/>
    </xf>
    <xf numFmtId="0" fontId="45" fillId="10" borderId="5" xfId="0" applyFont="1" applyFill="1" applyBorder="1" applyAlignment="1">
      <alignment horizontal="center" vertical="center" wrapText="1"/>
    </xf>
    <xf numFmtId="0" fontId="45" fillId="10" borderId="8" xfId="0" applyFont="1" applyFill="1" applyBorder="1" applyAlignment="1">
      <alignment horizontal="center" vertical="center" wrapText="1"/>
    </xf>
    <xf numFmtId="0" fontId="45" fillId="10" borderId="12" xfId="0" applyFont="1" applyFill="1" applyBorder="1" applyAlignment="1">
      <alignment horizontal="center" vertical="center" wrapText="1"/>
    </xf>
    <xf numFmtId="0" fontId="45" fillId="10" borderId="9" xfId="0" applyFont="1" applyFill="1" applyBorder="1" applyAlignment="1">
      <alignment horizontal="center" vertical="center" wrapText="1"/>
    </xf>
    <xf numFmtId="1" fontId="37" fillId="0" borderId="52" xfId="0" applyNumberFormat="1" applyFont="1" applyBorder="1" applyAlignment="1">
      <alignment horizontal="center" vertical="center"/>
    </xf>
    <xf numFmtId="0" fontId="8" fillId="0" borderId="0" xfId="0" applyFont="1" applyAlignment="1">
      <alignment horizontal="center" vertical="center"/>
    </xf>
    <xf numFmtId="0" fontId="41" fillId="0" borderId="0" xfId="0" applyFont="1" applyAlignment="1">
      <alignment horizontal="center"/>
    </xf>
    <xf numFmtId="0" fontId="57" fillId="0" borderId="0" xfId="0" applyFont="1" applyAlignment="1">
      <alignment horizontal="center" vertical="center"/>
    </xf>
    <xf numFmtId="0" fontId="15" fillId="0" borderId="0" xfId="0" applyFont="1" applyAlignment="1">
      <alignment horizontal="center" vertical="top" wrapText="1"/>
    </xf>
    <xf numFmtId="2" fontId="23" fillId="0" borderId="10" xfId="1" applyNumberFormat="1" applyFont="1" applyBorder="1" applyAlignment="1">
      <alignment horizontal="center" vertical="center" wrapText="1"/>
    </xf>
    <xf numFmtId="2" fontId="23" fillId="0" borderId="2" xfId="1" applyNumberFormat="1" applyFont="1" applyBorder="1" applyAlignment="1">
      <alignment horizontal="center" vertical="center" wrapText="1"/>
    </xf>
    <xf numFmtId="0" fontId="3" fillId="0" borderId="0" xfId="0" applyFont="1" applyAlignment="1">
      <alignment horizontal="center" vertical="center"/>
    </xf>
    <xf numFmtId="0" fontId="34" fillId="6" borderId="0" xfId="0" applyFont="1" applyFill="1" applyAlignment="1">
      <alignment horizontal="center" vertical="center"/>
    </xf>
    <xf numFmtId="0" fontId="45" fillId="10" borderId="1" xfId="0" applyFont="1" applyFill="1" applyBorder="1" applyAlignment="1">
      <alignment horizontal="center" vertical="center" wrapText="1"/>
    </xf>
    <xf numFmtId="0" fontId="37" fillId="0" borderId="52" xfId="0" applyFont="1" applyBorder="1" applyAlignment="1">
      <alignment horizontal="center" vertical="center"/>
    </xf>
    <xf numFmtId="0" fontId="37" fillId="0" borderId="50" xfId="0" applyFont="1" applyBorder="1" applyAlignment="1">
      <alignment horizontal="center" vertical="center"/>
    </xf>
    <xf numFmtId="0" fontId="37" fillId="0" borderId="22" xfId="0" applyFont="1" applyBorder="1" applyAlignment="1">
      <alignment horizontal="center" vertical="center"/>
    </xf>
    <xf numFmtId="0" fontId="37" fillId="0" borderId="23" xfId="0" applyFont="1" applyBorder="1" applyAlignment="1">
      <alignment horizontal="center" vertical="center"/>
    </xf>
    <xf numFmtId="0" fontId="20" fillId="10" borderId="10" xfId="0" applyFont="1" applyFill="1" applyBorder="1" applyAlignment="1">
      <alignment horizontal="center"/>
    </xf>
    <xf numFmtId="0" fontId="20" fillId="10" borderId="2" xfId="0" applyFont="1" applyFill="1" applyBorder="1" applyAlignment="1">
      <alignment horizontal="center"/>
    </xf>
    <xf numFmtId="0" fontId="16" fillId="0" borderId="0" xfId="0" applyFont="1" applyAlignment="1">
      <alignment horizontal="center" vertical="center"/>
    </xf>
    <xf numFmtId="0" fontId="26" fillId="0" borderId="0" xfId="0" applyFont="1" applyAlignment="1">
      <alignment horizontal="center" vertical="top"/>
    </xf>
    <xf numFmtId="2" fontId="86" fillId="0" borderId="0" xfId="0" applyNumberFormat="1" applyFont="1" applyAlignment="1">
      <alignment horizontal="center" vertical="center"/>
    </xf>
    <xf numFmtId="0" fontId="10" fillId="10" borderId="1" xfId="0" applyFont="1" applyFill="1" applyBorder="1" applyAlignment="1">
      <alignment horizontal="center"/>
    </xf>
    <xf numFmtId="0" fontId="1" fillId="0" borderId="6" xfId="0" applyFont="1" applyBorder="1" applyAlignment="1">
      <alignment horizontal="left" vertical="top" wrapText="1"/>
    </xf>
    <xf numFmtId="0" fontId="1" fillId="0" borderId="7" xfId="0" applyFont="1" applyBorder="1" applyAlignment="1">
      <alignment horizontal="left" vertical="top" wrapText="1"/>
    </xf>
    <xf numFmtId="0" fontId="1" fillId="0" borderId="41" xfId="0" applyFont="1" applyBorder="1" applyAlignment="1">
      <alignment horizontal="left" vertical="top" wrapText="1"/>
    </xf>
    <xf numFmtId="0" fontId="1" fillId="0" borderId="5" xfId="0" applyFont="1" applyBorder="1" applyAlignment="1">
      <alignment horizontal="left" vertical="top" wrapText="1"/>
    </xf>
    <xf numFmtId="0" fontId="1" fillId="0" borderId="4" xfId="0" applyFont="1" applyBorder="1" applyAlignment="1">
      <alignment horizontal="center" vertical="center"/>
    </xf>
    <xf numFmtId="0" fontId="1" fillId="0" borderId="3" xfId="0" applyFont="1" applyBorder="1" applyAlignment="1">
      <alignment horizontal="center" vertical="center"/>
    </xf>
    <xf numFmtId="0" fontId="1" fillId="0" borderId="4" xfId="1" applyNumberFormat="1" applyFont="1" applyBorder="1" applyAlignment="1">
      <alignment horizontal="center" vertical="center"/>
    </xf>
    <xf numFmtId="0" fontId="1" fillId="0" borderId="3" xfId="1" applyNumberFormat="1" applyFont="1" applyBorder="1" applyAlignment="1">
      <alignment horizontal="center" vertical="center"/>
    </xf>
    <xf numFmtId="0" fontId="1" fillId="0" borderId="26" xfId="1" applyNumberFormat="1" applyFont="1" applyBorder="1" applyAlignment="1">
      <alignment horizontal="center" vertical="center"/>
    </xf>
    <xf numFmtId="0" fontId="1" fillId="0" borderId="27" xfId="1" applyNumberFormat="1" applyFont="1" applyBorder="1" applyAlignment="1">
      <alignment horizontal="center" vertical="center"/>
    </xf>
    <xf numFmtId="0" fontId="14" fillId="0" borderId="25" xfId="1" applyNumberFormat="1" applyFont="1" applyBorder="1" applyAlignment="1">
      <alignment horizontal="center" vertical="center"/>
    </xf>
    <xf numFmtId="0" fontId="1" fillId="0" borderId="24" xfId="1" applyNumberFormat="1" applyFont="1" applyBorder="1" applyAlignment="1">
      <alignment horizontal="center" vertical="center"/>
    </xf>
    <xf numFmtId="0" fontId="1" fillId="0" borderId="25" xfId="1" applyNumberFormat="1" applyFont="1" applyBorder="1" applyAlignment="1">
      <alignment horizontal="center" vertical="center"/>
    </xf>
    <xf numFmtId="0" fontId="1" fillId="0" borderId="1" xfId="0" applyFont="1" applyBorder="1" applyAlignment="1">
      <alignment horizontal="center" vertical="center"/>
    </xf>
    <xf numFmtId="0" fontId="1" fillId="0" borderId="18" xfId="1" applyNumberFormat="1" applyFont="1" applyBorder="1" applyAlignment="1">
      <alignment horizontal="center" vertical="center"/>
    </xf>
    <xf numFmtId="0" fontId="14" fillId="0" borderId="42" xfId="1" applyNumberFormat="1" applyFont="1" applyBorder="1" applyAlignment="1">
      <alignment horizontal="center" vertical="center"/>
    </xf>
    <xf numFmtId="0" fontId="1" fillId="0" borderId="29" xfId="1" applyNumberFormat="1" applyFont="1" applyBorder="1" applyAlignment="1">
      <alignment horizontal="center" vertical="center"/>
    </xf>
    <xf numFmtId="0" fontId="14" fillId="0" borderId="4" xfId="1" applyNumberFormat="1" applyFont="1" applyBorder="1" applyAlignment="1">
      <alignment horizontal="center" vertical="center"/>
    </xf>
    <xf numFmtId="0" fontId="14" fillId="0" borderId="18" xfId="1" applyNumberFormat="1" applyFont="1" applyBorder="1" applyAlignment="1">
      <alignment horizontal="center" vertical="center"/>
    </xf>
    <xf numFmtId="0" fontId="1" fillId="0" borderId="8" xfId="0" applyFont="1" applyBorder="1" applyAlignment="1">
      <alignment horizontal="left" vertical="top" wrapText="1"/>
    </xf>
    <xf numFmtId="0" fontId="1" fillId="0" borderId="9" xfId="0" applyFont="1" applyBorder="1" applyAlignment="1">
      <alignment horizontal="left" vertical="top" wrapText="1"/>
    </xf>
    <xf numFmtId="0" fontId="34" fillId="3" borderId="0" xfId="0" applyFont="1" applyFill="1" applyAlignment="1">
      <alignment horizontal="center" vertical="center"/>
    </xf>
    <xf numFmtId="9" fontId="1" fillId="3" borderId="0" xfId="1" applyFont="1" applyFill="1" applyBorder="1" applyAlignment="1">
      <alignment horizontal="center" vertical="center"/>
    </xf>
    <xf numFmtId="0" fontId="45" fillId="10" borderId="49" xfId="0" applyFont="1" applyFill="1" applyBorder="1" applyAlignment="1">
      <alignment horizontal="center" vertical="center" wrapText="1"/>
    </xf>
    <xf numFmtId="0" fontId="45" fillId="10" borderId="52" xfId="0" applyFont="1" applyFill="1" applyBorder="1" applyAlignment="1">
      <alignment horizontal="center" vertical="center" wrapText="1"/>
    </xf>
    <xf numFmtId="0" fontId="45" fillId="10" borderId="50" xfId="0" applyFont="1" applyFill="1" applyBorder="1" applyAlignment="1">
      <alignment horizontal="center" vertical="center" wrapText="1"/>
    </xf>
    <xf numFmtId="0" fontId="45" fillId="10" borderId="51" xfId="0" applyFont="1" applyFill="1" applyBorder="1" applyAlignment="1">
      <alignment horizontal="center" vertical="center" wrapText="1"/>
    </xf>
    <xf numFmtId="0" fontId="45" fillId="10" borderId="22" xfId="0" applyFont="1" applyFill="1" applyBorder="1" applyAlignment="1">
      <alignment horizontal="center" vertical="center" wrapText="1"/>
    </xf>
    <xf numFmtId="0" fontId="45" fillId="10" borderId="23" xfId="0" applyFont="1" applyFill="1" applyBorder="1" applyAlignment="1">
      <alignment horizontal="center" vertical="center" wrapText="1"/>
    </xf>
    <xf numFmtId="2" fontId="35" fillId="0" borderId="49" xfId="0" applyNumberFormat="1" applyFont="1" applyBorder="1" applyAlignment="1">
      <alignment horizontal="center" vertical="center"/>
    </xf>
    <xf numFmtId="2" fontId="35" fillId="0" borderId="52" xfId="0" applyNumberFormat="1" applyFont="1" applyBorder="1" applyAlignment="1">
      <alignment horizontal="center" vertical="center"/>
    </xf>
    <xf numFmtId="2" fontId="35" fillId="0" borderId="50" xfId="0" applyNumberFormat="1" applyFont="1" applyBorder="1" applyAlignment="1">
      <alignment horizontal="center" vertical="center"/>
    </xf>
    <xf numFmtId="2" fontId="35" fillId="0" borderId="51" xfId="0" applyNumberFormat="1" applyFont="1" applyBorder="1" applyAlignment="1">
      <alignment horizontal="center" vertical="center"/>
    </xf>
    <xf numFmtId="2" fontId="35" fillId="0" borderId="22" xfId="0" applyNumberFormat="1" applyFont="1" applyBorder="1" applyAlignment="1">
      <alignment horizontal="center" vertical="center"/>
    </xf>
    <xf numFmtId="2" fontId="35" fillId="0" borderId="23" xfId="0" applyNumberFormat="1" applyFont="1" applyBorder="1" applyAlignment="1">
      <alignment horizontal="center" vertical="center"/>
    </xf>
    <xf numFmtId="0" fontId="34" fillId="5" borderId="0" xfId="0" applyFont="1" applyFill="1" applyAlignment="1">
      <alignment horizontal="center" vertical="center"/>
    </xf>
    <xf numFmtId="0" fontId="1" fillId="5" borderId="0" xfId="0" applyFont="1" applyFill="1" applyAlignment="1">
      <alignment horizontal="center"/>
    </xf>
    <xf numFmtId="0" fontId="14" fillId="11" borderId="10" xfId="0" applyFont="1" applyFill="1" applyBorder="1" applyAlignment="1">
      <alignment horizontal="center" vertical="center"/>
    </xf>
    <xf numFmtId="0" fontId="14" fillId="11" borderId="31" xfId="0" applyFont="1" applyFill="1" applyBorder="1" applyAlignment="1">
      <alignment horizontal="center" vertical="center"/>
    </xf>
    <xf numFmtId="0" fontId="14" fillId="11" borderId="2" xfId="0" applyFont="1" applyFill="1" applyBorder="1" applyAlignment="1">
      <alignment horizontal="center" vertical="center"/>
    </xf>
    <xf numFmtId="0" fontId="1" fillId="0" borderId="0" xfId="0" applyFont="1" applyAlignment="1">
      <alignment horizontal="left" vertical="top" wrapText="1"/>
    </xf>
    <xf numFmtId="0" fontId="19" fillId="7" borderId="4" xfId="0" applyFont="1" applyFill="1" applyBorder="1" applyAlignment="1">
      <alignment horizontal="center" vertical="center" wrapText="1"/>
    </xf>
    <xf numFmtId="0" fontId="19" fillId="7" borderId="3" xfId="0" applyFont="1" applyFill="1" applyBorder="1" applyAlignment="1">
      <alignment horizontal="center" vertical="center" wrapText="1"/>
    </xf>
    <xf numFmtId="0" fontId="18" fillId="18" borderId="10" xfId="0" applyFont="1" applyFill="1" applyBorder="1" applyAlignment="1">
      <alignment horizontal="center" vertical="center" wrapText="1"/>
    </xf>
    <xf numFmtId="0" fontId="18" fillId="18" borderId="31" xfId="0" applyFont="1" applyFill="1" applyBorder="1" applyAlignment="1">
      <alignment horizontal="center" vertical="center" wrapText="1"/>
    </xf>
    <xf numFmtId="0" fontId="18" fillId="18" borderId="2" xfId="0" applyFont="1" applyFill="1" applyBorder="1" applyAlignment="1">
      <alignment horizontal="center" vertical="center" wrapText="1"/>
    </xf>
    <xf numFmtId="9" fontId="6" fillId="0" borderId="10" xfId="1" applyFont="1" applyFill="1" applyBorder="1" applyAlignment="1">
      <alignment horizontal="center" vertical="center"/>
    </xf>
    <xf numFmtId="9" fontId="6" fillId="0" borderId="31" xfId="1" applyFont="1" applyFill="1" applyBorder="1" applyAlignment="1">
      <alignment horizontal="center" vertical="center"/>
    </xf>
    <xf numFmtId="9" fontId="6" fillId="0" borderId="2" xfId="1" applyFont="1" applyFill="1" applyBorder="1" applyAlignment="1">
      <alignment horizontal="center" vertical="center"/>
    </xf>
    <xf numFmtId="0" fontId="1" fillId="0" borderId="0" xfId="0" applyFont="1" applyAlignment="1">
      <alignment horizontal="center"/>
    </xf>
    <xf numFmtId="0" fontId="30" fillId="11" borderId="10" xfId="0" applyFont="1" applyFill="1" applyBorder="1" applyAlignment="1">
      <alignment horizontal="center" vertical="center"/>
    </xf>
    <xf numFmtId="0" fontId="30" fillId="11" borderId="31" xfId="0" applyFont="1" applyFill="1" applyBorder="1" applyAlignment="1">
      <alignment horizontal="center" vertical="center"/>
    </xf>
    <xf numFmtId="0" fontId="30" fillId="11" borderId="2" xfId="0" applyFont="1" applyFill="1" applyBorder="1" applyAlignment="1">
      <alignment horizontal="center" vertical="center"/>
    </xf>
    <xf numFmtId="0" fontId="1" fillId="0" borderId="0" xfId="0" applyFont="1" applyAlignment="1">
      <alignment horizontal="center" vertical="top" wrapText="1"/>
    </xf>
    <xf numFmtId="0" fontId="1" fillId="0" borderId="0" xfId="0" applyFont="1" applyAlignment="1">
      <alignment horizontal="center" vertical="center"/>
    </xf>
    <xf numFmtId="0" fontId="1" fillId="0" borderId="6" xfId="0" applyFont="1" applyBorder="1" applyAlignment="1">
      <alignment horizontal="center" vertical="top" wrapText="1"/>
    </xf>
    <xf numFmtId="0" fontId="1" fillId="0" borderId="7" xfId="0" applyFont="1" applyBorder="1" applyAlignment="1">
      <alignment horizontal="center" vertical="top" wrapText="1"/>
    </xf>
    <xf numFmtId="1" fontId="1" fillId="0" borderId="17" xfId="0" applyNumberFormat="1" applyFont="1" applyBorder="1" applyAlignment="1">
      <alignment horizontal="center"/>
    </xf>
    <xf numFmtId="1" fontId="1" fillId="0" borderId="11" xfId="0" applyNumberFormat="1" applyFont="1" applyBorder="1" applyAlignment="1">
      <alignment horizontal="center"/>
    </xf>
    <xf numFmtId="1" fontId="1" fillId="0" borderId="5" xfId="0" applyNumberFormat="1" applyFont="1" applyBorder="1" applyAlignment="1">
      <alignment horizontal="center"/>
    </xf>
    <xf numFmtId="0" fontId="40" fillId="11" borderId="10" xfId="0" applyFont="1" applyFill="1" applyBorder="1" applyAlignment="1">
      <alignment horizontal="center" vertical="center"/>
    </xf>
    <xf numFmtId="0" fontId="40" fillId="11" borderId="31" xfId="0" applyFont="1" applyFill="1" applyBorder="1" applyAlignment="1">
      <alignment horizontal="center" vertical="center"/>
    </xf>
    <xf numFmtId="0" fontId="40" fillId="11" borderId="2" xfId="0" applyFont="1" applyFill="1" applyBorder="1" applyAlignment="1">
      <alignment horizontal="center" vertical="center"/>
    </xf>
    <xf numFmtId="0" fontId="14" fillId="0" borderId="11" xfId="0" applyFont="1" applyBorder="1" applyAlignment="1">
      <alignment horizontal="center"/>
    </xf>
    <xf numFmtId="0" fontId="14" fillId="7" borderId="10" xfId="0" applyFont="1" applyFill="1" applyBorder="1" applyAlignment="1">
      <alignment horizontal="center"/>
    </xf>
    <xf numFmtId="0" fontId="14" fillId="7" borderId="31" xfId="0" applyFont="1" applyFill="1" applyBorder="1" applyAlignment="1">
      <alignment horizontal="center"/>
    </xf>
    <xf numFmtId="0" fontId="14" fillId="7" borderId="2" xfId="0" applyFont="1" applyFill="1" applyBorder="1" applyAlignment="1">
      <alignment horizontal="center"/>
    </xf>
    <xf numFmtId="0" fontId="10" fillId="10" borderId="1" xfId="0" applyFont="1" applyFill="1" applyBorder="1" applyAlignment="1">
      <alignment horizontal="center" vertical="center"/>
    </xf>
    <xf numFmtId="0" fontId="10" fillId="10" borderId="10" xfId="0" applyFont="1" applyFill="1" applyBorder="1" applyAlignment="1">
      <alignment horizontal="center" vertical="center"/>
    </xf>
    <xf numFmtId="0" fontId="10" fillId="10" borderId="31" xfId="0" applyFont="1" applyFill="1" applyBorder="1" applyAlignment="1">
      <alignment horizontal="center" vertical="center"/>
    </xf>
    <xf numFmtId="0" fontId="10" fillId="10" borderId="2" xfId="0" applyFont="1" applyFill="1" applyBorder="1" applyAlignment="1">
      <alignment horizontal="center" vertical="center"/>
    </xf>
    <xf numFmtId="0" fontId="1" fillId="0" borderId="0" xfId="0" applyFont="1" applyAlignment="1">
      <alignment horizontal="center" vertical="center" wrapText="1"/>
    </xf>
    <xf numFmtId="164" fontId="1" fillId="0" borderId="1" xfId="0" applyNumberFormat="1" applyFont="1" applyBorder="1" applyAlignment="1">
      <alignment horizontal="center" vertical="center"/>
    </xf>
    <xf numFmtId="0" fontId="1" fillId="0" borderId="10" xfId="0" applyFont="1" applyBorder="1" applyAlignment="1">
      <alignment horizontal="center" vertical="center"/>
    </xf>
    <xf numFmtId="0" fontId="1" fillId="0" borderId="2" xfId="0" applyFont="1" applyBorder="1" applyAlignment="1">
      <alignment horizontal="center" vertical="center"/>
    </xf>
    <xf numFmtId="0" fontId="10" fillId="10" borderId="10" xfId="0" applyFont="1" applyFill="1" applyBorder="1" applyAlignment="1">
      <alignment horizontal="center"/>
    </xf>
    <xf numFmtId="0" fontId="10" fillId="10" borderId="31" xfId="0" applyFont="1" applyFill="1" applyBorder="1" applyAlignment="1">
      <alignment horizontal="center"/>
    </xf>
    <xf numFmtId="0" fontId="10" fillId="10" borderId="2" xfId="0" applyFont="1" applyFill="1" applyBorder="1" applyAlignment="1">
      <alignment horizontal="center"/>
    </xf>
    <xf numFmtId="0" fontId="1" fillId="0" borderId="10" xfId="0" applyFont="1" applyBorder="1" applyAlignment="1">
      <alignment horizontal="center"/>
    </xf>
    <xf numFmtId="0" fontId="1" fillId="0" borderId="2" xfId="0" applyFont="1" applyBorder="1" applyAlignment="1">
      <alignment horizontal="center"/>
    </xf>
    <xf numFmtId="0" fontId="57" fillId="0" borderId="0" xfId="0" applyFont="1" applyAlignment="1">
      <alignment horizontal="center"/>
    </xf>
    <xf numFmtId="1" fontId="35" fillId="0" borderId="55" xfId="0" applyNumberFormat="1" applyFont="1" applyBorder="1" applyAlignment="1">
      <alignment horizontal="center" vertical="center"/>
    </xf>
    <xf numFmtId="1" fontId="35" fillId="0" borderId="52" xfId="0" applyNumberFormat="1" applyFont="1" applyBorder="1" applyAlignment="1">
      <alignment horizontal="center" vertical="center"/>
    </xf>
    <xf numFmtId="1" fontId="35" fillId="0" borderId="50" xfId="0" applyNumberFormat="1" applyFont="1" applyBorder="1" applyAlignment="1">
      <alignment horizontal="center" vertical="center"/>
    </xf>
    <xf numFmtId="1" fontId="35" fillId="0" borderId="21" xfId="0" applyNumberFormat="1" applyFont="1" applyBorder="1" applyAlignment="1">
      <alignment horizontal="center" vertical="center"/>
    </xf>
    <xf numFmtId="1" fontId="35" fillId="0" borderId="22" xfId="0" applyNumberFormat="1" applyFont="1" applyBorder="1" applyAlignment="1">
      <alignment horizontal="center" vertical="center"/>
    </xf>
    <xf numFmtId="1" fontId="35" fillId="0" borderId="23" xfId="0" applyNumberFormat="1" applyFont="1" applyBorder="1" applyAlignment="1">
      <alignment horizontal="center" vertical="center"/>
    </xf>
    <xf numFmtId="0" fontId="58" fillId="0" borderId="0" xfId="0" applyFont="1" applyAlignment="1">
      <alignment horizontal="center" vertical="center"/>
    </xf>
    <xf numFmtId="0" fontId="59" fillId="0" borderId="0" xfId="0" applyFont="1" applyAlignment="1">
      <alignment horizontal="center"/>
    </xf>
    <xf numFmtId="2" fontId="64" fillId="0" borderId="10" xfId="1" applyNumberFormat="1" applyFont="1" applyBorder="1" applyAlignment="1">
      <alignment horizontal="center" vertical="center" wrapText="1"/>
    </xf>
    <xf numFmtId="2" fontId="64" fillId="0" borderId="2" xfId="1" applyNumberFormat="1" applyFont="1" applyBorder="1" applyAlignment="1">
      <alignment horizontal="center" vertical="center" wrapText="1"/>
    </xf>
    <xf numFmtId="0" fontId="3" fillId="22" borderId="0" xfId="0" applyFont="1" applyFill="1" applyAlignment="1">
      <alignment horizontal="center" vertical="center"/>
    </xf>
    <xf numFmtId="0" fontId="65" fillId="6" borderId="0" xfId="0" applyFont="1" applyFill="1" applyAlignment="1">
      <alignment horizontal="center" vertical="center"/>
    </xf>
    <xf numFmtId="0" fontId="67" fillId="10" borderId="1" xfId="0" applyFont="1" applyFill="1" applyBorder="1" applyAlignment="1">
      <alignment horizontal="center" vertical="center" wrapText="1"/>
    </xf>
    <xf numFmtId="1" fontId="68" fillId="0" borderId="52" xfId="0" applyNumberFormat="1" applyFont="1" applyBorder="1" applyAlignment="1">
      <alignment horizontal="center" vertical="center"/>
    </xf>
    <xf numFmtId="0" fontId="68" fillId="0" borderId="52" xfId="0" applyFont="1" applyBorder="1" applyAlignment="1">
      <alignment horizontal="center" vertical="center"/>
    </xf>
    <xf numFmtId="0" fontId="68" fillId="0" borderId="50" xfId="0" applyFont="1" applyBorder="1" applyAlignment="1">
      <alignment horizontal="center" vertical="center"/>
    </xf>
    <xf numFmtId="0" fontId="68" fillId="0" borderId="22" xfId="0" applyFont="1" applyBorder="1" applyAlignment="1">
      <alignment horizontal="center" vertical="center"/>
    </xf>
    <xf numFmtId="0" fontId="68" fillId="0" borderId="23" xfId="0" applyFont="1" applyBorder="1" applyAlignment="1">
      <alignment horizontal="center" vertical="center"/>
    </xf>
    <xf numFmtId="0" fontId="55" fillId="0" borderId="0" xfId="0" applyFont="1" applyAlignment="1">
      <alignment horizontal="center" vertical="center"/>
    </xf>
    <xf numFmtId="0" fontId="61" fillId="0" borderId="0" xfId="0" applyFont="1" applyAlignment="1">
      <alignment horizontal="center" vertical="top"/>
    </xf>
    <xf numFmtId="2" fontId="62" fillId="0" borderId="0" xfId="0" applyNumberFormat="1" applyFont="1" applyAlignment="1">
      <alignment horizontal="center" vertical="center"/>
    </xf>
    <xf numFmtId="0" fontId="63" fillId="0" borderId="0" xfId="0" applyFont="1" applyAlignment="1">
      <alignment horizontal="center" vertical="center"/>
    </xf>
    <xf numFmtId="0" fontId="54" fillId="10" borderId="1" xfId="0" applyFont="1" applyFill="1" applyBorder="1" applyAlignment="1">
      <alignment horizontal="center"/>
    </xf>
    <xf numFmtId="0" fontId="1" fillId="0" borderId="17" xfId="0" applyFont="1" applyBorder="1" applyAlignment="1">
      <alignment horizontal="left" vertical="top" wrapText="1"/>
    </xf>
    <xf numFmtId="0" fontId="1" fillId="0" borderId="42" xfId="1" applyNumberFormat="1" applyFont="1" applyBorder="1" applyAlignment="1">
      <alignment horizontal="center" vertical="center"/>
    </xf>
    <xf numFmtId="0" fontId="1" fillId="0" borderId="39" xfId="0" applyFont="1" applyBorder="1" applyAlignment="1">
      <alignment horizontal="left" vertical="top" wrapText="1"/>
    </xf>
    <xf numFmtId="1" fontId="1" fillId="0" borderId="10" xfId="0" applyNumberFormat="1" applyFont="1" applyBorder="1" applyAlignment="1">
      <alignment horizontal="center"/>
    </xf>
    <xf numFmtId="1" fontId="1" fillId="0" borderId="31" xfId="0" applyNumberFormat="1" applyFont="1" applyBorder="1" applyAlignment="1">
      <alignment horizontal="center"/>
    </xf>
    <xf numFmtId="1" fontId="1" fillId="0" borderId="2" xfId="0" applyNumberFormat="1" applyFont="1" applyBorder="1" applyAlignment="1">
      <alignment horizontal="center"/>
    </xf>
    <xf numFmtId="0" fontId="14" fillId="0" borderId="0" xfId="0" applyFont="1" applyAlignment="1">
      <alignment horizontal="center"/>
    </xf>
    <xf numFmtId="2" fontId="75" fillId="0" borderId="49" xfId="0" applyNumberFormat="1" applyFont="1" applyBorder="1" applyAlignment="1">
      <alignment horizontal="center" vertical="center"/>
    </xf>
    <xf numFmtId="2" fontId="75" fillId="0" borderId="52" xfId="0" applyNumberFormat="1" applyFont="1" applyBorder="1" applyAlignment="1">
      <alignment horizontal="center" vertical="center"/>
    </xf>
    <xf numFmtId="2" fontId="75" fillId="0" borderId="50" xfId="0" applyNumberFormat="1" applyFont="1" applyBorder="1" applyAlignment="1">
      <alignment horizontal="center" vertical="center"/>
    </xf>
    <xf numFmtId="2" fontId="75" fillId="0" borderId="51" xfId="0" applyNumberFormat="1" applyFont="1" applyBorder="1" applyAlignment="1">
      <alignment horizontal="center" vertical="center"/>
    </xf>
    <xf numFmtId="2" fontId="75" fillId="0" borderId="22" xfId="0" applyNumberFormat="1" applyFont="1" applyBorder="1" applyAlignment="1">
      <alignment horizontal="center" vertical="center"/>
    </xf>
    <xf numFmtId="2" fontId="75" fillId="0" borderId="23" xfId="0" applyNumberFormat="1" applyFont="1" applyBorder="1" applyAlignment="1">
      <alignment horizontal="center" vertical="center"/>
    </xf>
    <xf numFmtId="0" fontId="67" fillId="10" borderId="49" xfId="0" applyFont="1" applyFill="1" applyBorder="1" applyAlignment="1">
      <alignment horizontal="center" vertical="center" wrapText="1"/>
    </xf>
    <xf numFmtId="0" fontId="67" fillId="10" borderId="52" xfId="0" applyFont="1" applyFill="1" applyBorder="1" applyAlignment="1">
      <alignment horizontal="center" vertical="center" wrapText="1"/>
    </xf>
    <xf numFmtId="0" fontId="67" fillId="10" borderId="50" xfId="0" applyFont="1" applyFill="1" applyBorder="1" applyAlignment="1">
      <alignment horizontal="center" vertical="center" wrapText="1"/>
    </xf>
    <xf numFmtId="0" fontId="67" fillId="10" borderId="51" xfId="0" applyFont="1" applyFill="1" applyBorder="1" applyAlignment="1">
      <alignment horizontal="center" vertical="center" wrapText="1"/>
    </xf>
    <xf numFmtId="0" fontId="67" fillId="10" borderId="22" xfId="0" applyFont="1" applyFill="1" applyBorder="1" applyAlignment="1">
      <alignment horizontal="center" vertical="center" wrapText="1"/>
    </xf>
    <xf numFmtId="0" fontId="67" fillId="10" borderId="23" xfId="0" applyFont="1" applyFill="1" applyBorder="1" applyAlignment="1">
      <alignment horizontal="center" vertical="center" wrapText="1"/>
    </xf>
    <xf numFmtId="9" fontId="0" fillId="3" borderId="0" xfId="1" applyFont="1" applyFill="1" applyBorder="1" applyAlignment="1">
      <alignment horizontal="center" vertical="center"/>
    </xf>
    <xf numFmtId="0" fontId="65" fillId="3" borderId="0" xfId="0" applyFont="1" applyFill="1" applyAlignment="1">
      <alignment horizontal="center" vertical="center"/>
    </xf>
    <xf numFmtId="0" fontId="74" fillId="0" borderId="0" xfId="0" applyFont="1" applyAlignment="1">
      <alignment horizontal="center" vertical="top" wrapText="1"/>
    </xf>
    <xf numFmtId="0" fontId="0" fillId="0" borderId="39" xfId="0" applyBorder="1" applyAlignment="1">
      <alignment horizontal="left" vertical="top" wrapText="1"/>
    </xf>
    <xf numFmtId="0" fontId="0" fillId="0" borderId="7" xfId="0" applyBorder="1" applyAlignment="1">
      <alignment horizontal="left" vertical="top" wrapText="1"/>
    </xf>
    <xf numFmtId="0" fontId="69" fillId="10" borderId="10" xfId="0" applyFont="1" applyFill="1" applyBorder="1" applyAlignment="1">
      <alignment horizontal="center"/>
    </xf>
    <xf numFmtId="0" fontId="69" fillId="10" borderId="31" xfId="0" applyFont="1" applyFill="1" applyBorder="1" applyAlignment="1">
      <alignment horizontal="center"/>
    </xf>
    <xf numFmtId="0" fontId="65" fillId="2" borderId="0" xfId="0" applyFont="1" applyFill="1" applyAlignment="1">
      <alignment horizontal="center" vertical="center"/>
    </xf>
    <xf numFmtId="0" fontId="67" fillId="10" borderId="17" xfId="0" applyFont="1" applyFill="1" applyBorder="1" applyAlignment="1">
      <alignment horizontal="center" vertical="center" wrapText="1"/>
    </xf>
    <xf numFmtId="0" fontId="67" fillId="10" borderId="11" xfId="0" applyFont="1" applyFill="1" applyBorder="1" applyAlignment="1">
      <alignment horizontal="center" vertical="center" wrapText="1"/>
    </xf>
    <xf numFmtId="0" fontId="67" fillId="10" borderId="5" xfId="0" applyFont="1" applyFill="1" applyBorder="1" applyAlignment="1">
      <alignment horizontal="center" vertical="center" wrapText="1"/>
    </xf>
    <xf numFmtId="0" fontId="67" fillId="10" borderId="8" xfId="0" applyFont="1" applyFill="1" applyBorder="1" applyAlignment="1">
      <alignment horizontal="center" vertical="center" wrapText="1"/>
    </xf>
    <xf numFmtId="0" fontId="67" fillId="10" borderId="12" xfId="0" applyFont="1" applyFill="1" applyBorder="1" applyAlignment="1">
      <alignment horizontal="center" vertical="center" wrapText="1"/>
    </xf>
    <xf numFmtId="0" fontId="67" fillId="10" borderId="9" xfId="0" applyFont="1" applyFill="1" applyBorder="1" applyAlignment="1">
      <alignment horizontal="center" vertical="center" wrapText="1"/>
    </xf>
    <xf numFmtId="1" fontId="68" fillId="0" borderId="55" xfId="0" applyNumberFormat="1" applyFont="1" applyBorder="1" applyAlignment="1">
      <alignment horizontal="center" vertical="center"/>
    </xf>
    <xf numFmtId="1" fontId="68" fillId="0" borderId="50" xfId="0" applyNumberFormat="1" applyFont="1" applyBorder="1" applyAlignment="1">
      <alignment horizontal="center" vertical="center"/>
    </xf>
    <xf numFmtId="1" fontId="68" fillId="0" borderId="21" xfId="0" applyNumberFormat="1" applyFont="1" applyBorder="1" applyAlignment="1">
      <alignment horizontal="center" vertical="center"/>
    </xf>
    <xf numFmtId="1" fontId="68" fillId="0" borderId="22" xfId="0" applyNumberFormat="1" applyFont="1" applyBorder="1" applyAlignment="1">
      <alignment horizontal="center" vertical="center"/>
    </xf>
    <xf numFmtId="1" fontId="68" fillId="0" borderId="23" xfId="0" applyNumberFormat="1" applyFont="1" applyBorder="1" applyAlignment="1">
      <alignment horizontal="center" vertical="center"/>
    </xf>
    <xf numFmtId="1" fontId="90" fillId="0" borderId="52" xfId="0" applyNumberFormat="1" applyFont="1" applyBorder="1" applyAlignment="1">
      <alignment horizontal="center" vertical="center"/>
    </xf>
    <xf numFmtId="0" fontId="90" fillId="0" borderId="52" xfId="0" applyFont="1" applyBorder="1" applyAlignment="1">
      <alignment horizontal="center" vertical="center"/>
    </xf>
    <xf numFmtId="0" fontId="90" fillId="0" borderId="50" xfId="0" applyFont="1" applyBorder="1" applyAlignment="1">
      <alignment horizontal="center" vertical="center"/>
    </xf>
    <xf numFmtId="0" fontId="90" fillId="0" borderId="22" xfId="0" applyFont="1" applyBorder="1" applyAlignment="1">
      <alignment horizontal="center" vertical="center"/>
    </xf>
    <xf numFmtId="0" fontId="90" fillId="0" borderId="23" xfId="0" applyFont="1"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4" xfId="1" applyNumberFormat="1" applyFont="1" applyBorder="1" applyAlignment="1">
      <alignment horizontal="center" vertical="center"/>
    </xf>
    <xf numFmtId="0" fontId="0" fillId="0" borderId="3" xfId="1" applyNumberFormat="1" applyFont="1" applyBorder="1" applyAlignment="1">
      <alignment horizontal="center" vertical="center"/>
    </xf>
    <xf numFmtId="0" fontId="0" fillId="0" borderId="26" xfId="1" applyNumberFormat="1" applyFont="1" applyBorder="1" applyAlignment="1">
      <alignment horizontal="center" vertical="center"/>
    </xf>
    <xf numFmtId="0" fontId="0" fillId="0" borderId="27" xfId="1" applyNumberFormat="1" applyFont="1" applyBorder="1" applyAlignment="1">
      <alignment horizontal="center" vertical="center"/>
    </xf>
    <xf numFmtId="0" fontId="0" fillId="0" borderId="24" xfId="1" applyNumberFormat="1" applyFont="1" applyBorder="1" applyAlignment="1">
      <alignment horizontal="center" vertical="center"/>
    </xf>
    <xf numFmtId="0" fontId="0" fillId="0" borderId="25" xfId="1" applyNumberFormat="1" applyFont="1" applyBorder="1" applyAlignment="1">
      <alignment horizontal="center" vertical="center"/>
    </xf>
    <xf numFmtId="0" fontId="0" fillId="0" borderId="41" xfId="0" applyBorder="1" applyAlignment="1">
      <alignment horizontal="left" vertical="top" wrapText="1"/>
    </xf>
    <xf numFmtId="0" fontId="0" fillId="0" borderId="5" xfId="0" applyBorder="1" applyAlignment="1">
      <alignment horizontal="left" vertical="top" wrapText="1"/>
    </xf>
    <xf numFmtId="0" fontId="0" fillId="0" borderId="1" xfId="0" applyBorder="1" applyAlignment="1">
      <alignment horizontal="center" vertical="center"/>
    </xf>
    <xf numFmtId="0" fontId="0" fillId="0" borderId="18" xfId="1" applyNumberFormat="1" applyFont="1" applyBorder="1" applyAlignment="1">
      <alignment horizontal="center" vertical="center"/>
    </xf>
    <xf numFmtId="0" fontId="0" fillId="0" borderId="29" xfId="1" applyNumberFormat="1" applyFont="1" applyBorder="1" applyAlignment="1">
      <alignment horizontal="center" vertical="center"/>
    </xf>
    <xf numFmtId="0" fontId="0" fillId="0" borderId="42" xfId="1" applyNumberFormat="1" applyFont="1" applyBorder="1" applyAlignment="1">
      <alignment horizontal="center" vertical="center"/>
    </xf>
    <xf numFmtId="0" fontId="56" fillId="0" borderId="42" xfId="1" applyNumberFormat="1" applyFont="1" applyBorder="1" applyAlignment="1">
      <alignment horizontal="center" vertical="center"/>
    </xf>
    <xf numFmtId="0" fontId="56" fillId="0" borderId="25" xfId="1" applyNumberFormat="1" applyFont="1" applyBorder="1" applyAlignment="1">
      <alignment horizontal="center" vertical="center"/>
    </xf>
    <xf numFmtId="0" fontId="0" fillId="0" borderId="0" xfId="0" applyAlignment="1">
      <alignment horizontal="center" vertical="center" wrapText="1"/>
    </xf>
    <xf numFmtId="0" fontId="0" fillId="0" borderId="0" xfId="0" applyAlignment="1">
      <alignment horizontal="center"/>
    </xf>
    <xf numFmtId="0" fontId="0" fillId="0" borderId="0" xfId="0" applyAlignment="1">
      <alignment horizontal="center" vertical="top" wrapText="1"/>
    </xf>
    <xf numFmtId="0" fontId="64" fillId="11" borderId="10" xfId="0" applyFont="1" applyFill="1" applyBorder="1" applyAlignment="1">
      <alignment horizontal="center" vertical="center"/>
    </xf>
    <xf numFmtId="0" fontId="64" fillId="11" borderId="31" xfId="0" applyFont="1" applyFill="1" applyBorder="1" applyAlignment="1">
      <alignment horizontal="center" vertical="center"/>
    </xf>
    <xf numFmtId="0" fontId="64" fillId="11" borderId="2" xfId="0" applyFont="1" applyFill="1" applyBorder="1" applyAlignment="1">
      <alignment horizontal="center" vertical="center"/>
    </xf>
    <xf numFmtId="0" fontId="72" fillId="11" borderId="10" xfId="0" applyFont="1" applyFill="1" applyBorder="1" applyAlignment="1">
      <alignment horizontal="center" vertical="center"/>
    </xf>
    <xf numFmtId="0" fontId="72" fillId="11" borderId="31" xfId="0" applyFont="1" applyFill="1" applyBorder="1" applyAlignment="1">
      <alignment horizontal="center" vertical="center"/>
    </xf>
    <xf numFmtId="0" fontId="72" fillId="11" borderId="2" xfId="0" applyFont="1" applyFill="1" applyBorder="1" applyAlignment="1">
      <alignment horizontal="center" vertical="center"/>
    </xf>
    <xf numFmtId="9" fontId="51" fillId="0" borderId="10" xfId="1" applyFont="1" applyFill="1" applyBorder="1" applyAlignment="1">
      <alignment horizontal="center" vertical="center"/>
    </xf>
    <xf numFmtId="9" fontId="51" fillId="0" borderId="31" xfId="1" applyFont="1" applyFill="1" applyBorder="1" applyAlignment="1">
      <alignment horizontal="center" vertical="center"/>
    </xf>
    <xf numFmtId="9" fontId="51" fillId="0" borderId="2" xfId="1" applyFont="1" applyFill="1" applyBorder="1" applyAlignment="1">
      <alignment horizontal="center" vertical="center"/>
    </xf>
    <xf numFmtId="0" fontId="0" fillId="5" borderId="0" xfId="0" applyFill="1" applyAlignment="1">
      <alignment horizontal="center"/>
    </xf>
    <xf numFmtId="0" fontId="81" fillId="18" borderId="10" xfId="0" applyFont="1" applyFill="1" applyBorder="1" applyAlignment="1">
      <alignment horizontal="center" vertical="center" wrapText="1"/>
    </xf>
    <xf numFmtId="0" fontId="81" fillId="18" borderId="31" xfId="0" applyFont="1" applyFill="1" applyBorder="1" applyAlignment="1">
      <alignment horizontal="center" vertical="center" wrapText="1"/>
    </xf>
    <xf numFmtId="0" fontId="81" fillId="18" borderId="2" xfId="0" applyFont="1" applyFill="1" applyBorder="1" applyAlignment="1">
      <alignment horizontal="center" vertical="center" wrapText="1"/>
    </xf>
    <xf numFmtId="0" fontId="65" fillId="5" borderId="0" xfId="0" applyFont="1" applyFill="1" applyAlignment="1">
      <alignment horizontal="center" vertical="center"/>
    </xf>
    <xf numFmtId="0" fontId="56" fillId="11" borderId="10" xfId="0" applyFont="1" applyFill="1" applyBorder="1" applyAlignment="1">
      <alignment horizontal="center" vertical="center"/>
    </xf>
    <xf numFmtId="0" fontId="56" fillId="11" borderId="31" xfId="0" applyFont="1" applyFill="1" applyBorder="1" applyAlignment="1">
      <alignment horizontal="center" vertical="center"/>
    </xf>
    <xf numFmtId="0" fontId="56" fillId="11" borderId="2" xfId="0" applyFont="1" applyFill="1" applyBorder="1" applyAlignment="1">
      <alignment horizontal="center" vertical="center"/>
    </xf>
    <xf numFmtId="0" fontId="57" fillId="7" borderId="4" xfId="0" applyFont="1" applyFill="1" applyBorder="1" applyAlignment="1">
      <alignment horizontal="center" vertical="center" wrapText="1"/>
    </xf>
    <xf numFmtId="0" fontId="57" fillId="7" borderId="3" xfId="0" applyFont="1" applyFill="1" applyBorder="1" applyAlignment="1">
      <alignment horizontal="center" vertical="center" wrapText="1"/>
    </xf>
    <xf numFmtId="0" fontId="56" fillId="7" borderId="10" xfId="0" applyFont="1" applyFill="1" applyBorder="1" applyAlignment="1">
      <alignment horizontal="center"/>
    </xf>
    <xf numFmtId="0" fontId="56" fillId="7" borderId="31" xfId="0" applyFont="1" applyFill="1" applyBorder="1" applyAlignment="1">
      <alignment horizontal="center"/>
    </xf>
    <xf numFmtId="0" fontId="56" fillId="7" borderId="2" xfId="0" applyFont="1" applyFill="1" applyBorder="1" applyAlignment="1">
      <alignment horizontal="center"/>
    </xf>
    <xf numFmtId="0" fontId="0" fillId="0" borderId="40" xfId="0" applyBorder="1" applyAlignment="1">
      <alignment horizontal="left" vertical="top" wrapText="1"/>
    </xf>
    <xf numFmtId="0" fontId="0" fillId="0" borderId="9" xfId="0" applyBorder="1" applyAlignment="1">
      <alignment horizontal="left" vertical="top" wrapText="1"/>
    </xf>
    <xf numFmtId="1" fontId="0" fillId="0" borderId="10" xfId="0" applyNumberFormat="1" applyBorder="1" applyAlignment="1">
      <alignment horizontal="center"/>
    </xf>
    <xf numFmtId="1" fontId="0" fillId="0" borderId="31" xfId="0" applyNumberFormat="1" applyBorder="1" applyAlignment="1">
      <alignment horizontal="center"/>
    </xf>
    <xf numFmtId="1" fontId="0" fillId="0" borderId="2" xfId="0" applyNumberFormat="1" applyBorder="1" applyAlignment="1">
      <alignment horizontal="center"/>
    </xf>
    <xf numFmtId="0" fontId="0" fillId="0" borderId="0" xfId="0" applyAlignment="1">
      <alignment horizontal="left" vertical="top" wrapText="1"/>
    </xf>
    <xf numFmtId="0" fontId="0" fillId="0" borderId="0" xfId="0" applyAlignment="1">
      <alignment horizontal="center" vertical="center"/>
    </xf>
    <xf numFmtId="0" fontId="0" fillId="0" borderId="12" xfId="0" applyBorder="1" applyAlignment="1">
      <alignment horizontal="left" vertical="top" wrapText="1"/>
    </xf>
    <xf numFmtId="0" fontId="64" fillId="11" borderId="1" xfId="0" applyFont="1" applyFill="1" applyBorder="1" applyAlignment="1">
      <alignment horizontal="center" vertical="center"/>
    </xf>
    <xf numFmtId="0" fontId="0" fillId="0" borderId="0" xfId="0" applyAlignment="1">
      <alignment horizontal="left" wrapText="1"/>
    </xf>
    <xf numFmtId="0" fontId="0" fillId="0" borderId="7" xfId="0" applyBorder="1" applyAlignment="1">
      <alignment horizontal="left" wrapText="1"/>
    </xf>
    <xf numFmtId="0" fontId="69" fillId="10" borderId="2" xfId="0" applyFont="1" applyFill="1" applyBorder="1" applyAlignment="1">
      <alignment horizontal="center"/>
    </xf>
    <xf numFmtId="0" fontId="0" fillId="0" borderId="11" xfId="0" applyBorder="1" applyAlignment="1">
      <alignment horizontal="left" vertical="top" wrapText="1"/>
    </xf>
    <xf numFmtId="0" fontId="77" fillId="0" borderId="17" xfId="0" applyFont="1" applyBorder="1" applyAlignment="1">
      <alignment horizontal="center" vertical="center"/>
    </xf>
    <xf numFmtId="0" fontId="77" fillId="0" borderId="11" xfId="0" applyFont="1" applyBorder="1" applyAlignment="1">
      <alignment horizontal="center" vertical="center"/>
    </xf>
    <xf numFmtId="0" fontId="77" fillId="0" borderId="5" xfId="0" applyFont="1" applyBorder="1" applyAlignment="1">
      <alignment horizontal="center" vertical="center"/>
    </xf>
    <xf numFmtId="0" fontId="77" fillId="0" borderId="8" xfId="0" applyFont="1" applyBorder="1" applyAlignment="1">
      <alignment horizontal="center" vertical="center"/>
    </xf>
    <xf numFmtId="0" fontId="77" fillId="0" borderId="12" xfId="0" applyFont="1" applyBorder="1" applyAlignment="1">
      <alignment horizontal="center" vertical="center"/>
    </xf>
    <xf numFmtId="0" fontId="77" fillId="0" borderId="9" xfId="0" applyFont="1" applyBorder="1" applyAlignment="1">
      <alignment horizontal="center" vertical="center"/>
    </xf>
    <xf numFmtId="1" fontId="0" fillId="0" borderId="1" xfId="0" applyNumberFormat="1" applyBorder="1" applyAlignment="1">
      <alignment horizontal="center"/>
    </xf>
    <xf numFmtId="0" fontId="54" fillId="9" borderId="53" xfId="0" applyFont="1" applyFill="1" applyBorder="1" applyAlignment="1">
      <alignment horizontal="center" vertical="center"/>
    </xf>
    <xf numFmtId="0" fontId="54" fillId="9" borderId="54" xfId="0" applyFont="1" applyFill="1" applyBorder="1" applyAlignment="1">
      <alignment horizontal="center" vertical="center"/>
    </xf>
    <xf numFmtId="0" fontId="56" fillId="0" borderId="1" xfId="0" applyFont="1" applyBorder="1" applyAlignment="1">
      <alignment horizontal="center" vertical="center" wrapText="1"/>
    </xf>
    <xf numFmtId="1" fontId="75" fillId="0" borderId="55" xfId="0" applyNumberFormat="1" applyFont="1" applyBorder="1" applyAlignment="1">
      <alignment horizontal="center" vertical="center"/>
    </xf>
    <xf numFmtId="1" fontId="75" fillId="0" borderId="52" xfId="0" applyNumberFormat="1" applyFont="1" applyBorder="1" applyAlignment="1">
      <alignment horizontal="center" vertical="center"/>
    </xf>
    <xf numFmtId="1" fontId="75" fillId="0" borderId="50" xfId="0" applyNumberFormat="1" applyFont="1" applyBorder="1" applyAlignment="1">
      <alignment horizontal="center" vertical="center"/>
    </xf>
    <xf numFmtId="1" fontId="75" fillId="0" borderId="21" xfId="0" applyNumberFormat="1" applyFont="1" applyBorder="1" applyAlignment="1">
      <alignment horizontal="center" vertical="center"/>
    </xf>
    <xf numFmtId="1" fontId="75" fillId="0" borderId="22" xfId="0" applyNumberFormat="1" applyFont="1" applyBorder="1" applyAlignment="1">
      <alignment horizontal="center" vertical="center"/>
    </xf>
    <xf numFmtId="1" fontId="75" fillId="0" borderId="23" xfId="0" applyNumberFormat="1" applyFont="1" applyBorder="1" applyAlignment="1">
      <alignment horizontal="center" vertical="center"/>
    </xf>
    <xf numFmtId="0" fontId="48" fillId="16" borderId="0" xfId="0" applyFont="1" applyFill="1" applyAlignment="1">
      <alignment horizontal="center" vertical="center"/>
    </xf>
    <xf numFmtId="0" fontId="48" fillId="16" borderId="7" xfId="0" applyFont="1" applyFill="1" applyBorder="1" applyAlignment="1">
      <alignment horizontal="center" vertical="center"/>
    </xf>
    <xf numFmtId="0" fontId="79" fillId="0" borderId="49" xfId="0" applyFont="1" applyBorder="1" applyAlignment="1">
      <alignment horizontal="center" vertical="center"/>
    </xf>
    <xf numFmtId="0" fontId="79" fillId="0" borderId="50" xfId="0" applyFont="1" applyBorder="1" applyAlignment="1">
      <alignment horizontal="center" vertical="center"/>
    </xf>
    <xf numFmtId="0" fontId="79" fillId="19" borderId="63" xfId="0" applyFont="1" applyFill="1" applyBorder="1" applyAlignment="1">
      <alignment horizontal="center" vertical="center"/>
    </xf>
    <xf numFmtId="0" fontId="79" fillId="19" borderId="62" xfId="0" applyFont="1" applyFill="1" applyBorder="1" applyAlignment="1">
      <alignment horizontal="center" vertical="center"/>
    </xf>
    <xf numFmtId="0" fontId="47" fillId="27" borderId="63" xfId="0" applyFont="1" applyFill="1" applyBorder="1" applyAlignment="1">
      <alignment horizontal="center" vertical="center"/>
    </xf>
    <xf numFmtId="0" fontId="47" fillId="27" borderId="62" xfId="0" applyFont="1" applyFill="1" applyBorder="1" applyAlignment="1">
      <alignment horizontal="center" vertical="center"/>
    </xf>
    <xf numFmtId="0" fontId="61" fillId="0" borderId="51" xfId="0" applyFont="1" applyBorder="1" applyAlignment="1">
      <alignment horizontal="center" vertical="center"/>
    </xf>
    <xf numFmtId="0" fontId="61" fillId="0" borderId="23" xfId="0" applyFont="1" applyBorder="1" applyAlignment="1">
      <alignment horizontal="center" vertical="center"/>
    </xf>
    <xf numFmtId="0" fontId="48" fillId="25" borderId="63" xfId="0" applyFont="1" applyFill="1" applyBorder="1" applyAlignment="1">
      <alignment horizontal="center" vertical="center"/>
    </xf>
    <xf numFmtId="0" fontId="48" fillId="25" borderId="62" xfId="0" applyFont="1" applyFill="1" applyBorder="1" applyAlignment="1">
      <alignment horizontal="center" vertical="center"/>
    </xf>
    <xf numFmtId="0" fontId="79" fillId="20" borderId="63" xfId="0" applyFont="1" applyFill="1" applyBorder="1" applyAlignment="1">
      <alignment horizontal="center" vertical="center"/>
    </xf>
    <xf numFmtId="0" fontId="79" fillId="20" borderId="62" xfId="0" applyFont="1" applyFill="1" applyBorder="1" applyAlignment="1">
      <alignment horizontal="center" vertical="center"/>
    </xf>
    <xf numFmtId="0" fontId="80" fillId="5" borderId="0" xfId="0" applyFont="1" applyFill="1" applyAlignment="1">
      <alignment horizontal="center" vertical="center"/>
    </xf>
    <xf numFmtId="0" fontId="54" fillId="9" borderId="56" xfId="0" applyFont="1" applyFill="1" applyBorder="1" applyAlignment="1">
      <alignment horizontal="center" vertical="center"/>
    </xf>
    <xf numFmtId="0" fontId="54" fillId="9" borderId="57" xfId="0" applyFont="1" applyFill="1" applyBorder="1" applyAlignment="1">
      <alignment horizontal="center" vertical="center"/>
    </xf>
    <xf numFmtId="0" fontId="54" fillId="9" borderId="58" xfId="0" applyFont="1" applyFill="1" applyBorder="1" applyAlignment="1">
      <alignment horizontal="center" vertical="center"/>
    </xf>
    <xf numFmtId="0" fontId="54" fillId="9" borderId="59" xfId="0" applyFont="1" applyFill="1" applyBorder="1" applyAlignment="1">
      <alignment horizontal="center" vertical="center"/>
    </xf>
    <xf numFmtId="0" fontId="54" fillId="9" borderId="60" xfId="0" applyFont="1" applyFill="1" applyBorder="1" applyAlignment="1">
      <alignment horizontal="center" vertical="center"/>
    </xf>
    <xf numFmtId="0" fontId="54" fillId="9" borderId="61" xfId="0" applyFont="1" applyFill="1" applyBorder="1" applyAlignment="1">
      <alignment horizontal="center" vertical="center"/>
    </xf>
    <xf numFmtId="0" fontId="79" fillId="0" borderId="63" xfId="0" applyFont="1" applyBorder="1" applyAlignment="1">
      <alignment horizontal="center" vertical="center"/>
    </xf>
    <xf numFmtId="0" fontId="79" fillId="0" borderId="62" xfId="0" applyFont="1" applyBorder="1" applyAlignment="1">
      <alignment horizontal="center" vertical="center"/>
    </xf>
    <xf numFmtId="0" fontId="79" fillId="19" borderId="66" xfId="0" applyFont="1" applyFill="1" applyBorder="1" applyAlignment="1">
      <alignment horizontal="center" vertical="center" wrapText="1"/>
    </xf>
    <xf numFmtId="0" fontId="79" fillId="19" borderId="67" xfId="0" applyFont="1" applyFill="1" applyBorder="1" applyAlignment="1">
      <alignment horizontal="center" vertical="center" wrapText="1"/>
    </xf>
    <xf numFmtId="0" fontId="78" fillId="21" borderId="0" xfId="0" applyFont="1" applyFill="1" applyAlignment="1">
      <alignment horizontal="center" vertical="center" wrapText="1"/>
    </xf>
    <xf numFmtId="0" fontId="78" fillId="21" borderId="7" xfId="0" applyFont="1" applyFill="1" applyBorder="1" applyAlignment="1">
      <alignment horizontal="center" vertical="center" wrapText="1"/>
    </xf>
    <xf numFmtId="0" fontId="78" fillId="21" borderId="17" xfId="0" applyFont="1" applyFill="1" applyBorder="1" applyAlignment="1">
      <alignment horizontal="center" vertical="center" wrapText="1"/>
    </xf>
    <xf numFmtId="0" fontId="78" fillId="21" borderId="5" xfId="0" applyFont="1" applyFill="1" applyBorder="1" applyAlignment="1">
      <alignment horizontal="center" vertical="center" wrapText="1"/>
    </xf>
    <xf numFmtId="0" fontId="79" fillId="0" borderId="64" xfId="0" applyFont="1" applyBorder="1" applyAlignment="1">
      <alignment horizontal="center" vertical="center"/>
    </xf>
    <xf numFmtId="0" fontId="79" fillId="0" borderId="65" xfId="0" applyFont="1" applyBorder="1" applyAlignment="1">
      <alignment horizontal="center" vertical="center"/>
    </xf>
    <xf numFmtId="0" fontId="56" fillId="0" borderId="17" xfId="0" applyFont="1" applyBorder="1" applyAlignment="1">
      <alignment horizontal="center" vertical="center" wrapText="1"/>
    </xf>
    <xf numFmtId="0" fontId="56" fillId="0" borderId="11" xfId="0" applyFont="1" applyBorder="1" applyAlignment="1">
      <alignment horizontal="center" vertical="center" wrapText="1"/>
    </xf>
    <xf numFmtId="0" fontId="56" fillId="0" borderId="5" xfId="0" applyFont="1" applyBorder="1" applyAlignment="1">
      <alignment horizontal="center" vertical="center" wrapText="1"/>
    </xf>
    <xf numFmtId="0" fontId="56" fillId="0" borderId="8" xfId="0" applyFont="1" applyBorder="1" applyAlignment="1">
      <alignment horizontal="center" vertical="center" wrapText="1"/>
    </xf>
    <xf numFmtId="0" fontId="56" fillId="0" borderId="12" xfId="0" applyFont="1" applyBorder="1" applyAlignment="1">
      <alignment horizontal="center" vertical="center" wrapText="1"/>
    </xf>
    <xf numFmtId="0" fontId="56" fillId="0" borderId="9" xfId="0" applyFont="1" applyBorder="1" applyAlignment="1">
      <alignment horizontal="center" vertical="center" wrapText="1"/>
    </xf>
    <xf numFmtId="0" fontId="48" fillId="20" borderId="0" xfId="0" applyFont="1" applyFill="1" applyAlignment="1">
      <alignment horizontal="center"/>
    </xf>
    <xf numFmtId="0" fontId="55" fillId="23" borderId="10" xfId="0" applyFont="1" applyFill="1" applyBorder="1" applyAlignment="1">
      <alignment horizontal="center" vertical="center"/>
    </xf>
    <xf numFmtId="0" fontId="55" fillId="23" borderId="31" xfId="0" applyFont="1" applyFill="1" applyBorder="1" applyAlignment="1">
      <alignment horizontal="center" vertical="center"/>
    </xf>
    <xf numFmtId="0" fontId="55" fillId="23" borderId="2" xfId="0" applyFont="1" applyFill="1" applyBorder="1" applyAlignment="1">
      <alignment horizontal="center" vertical="center"/>
    </xf>
    <xf numFmtId="0" fontId="55" fillId="23" borderId="1" xfId="0" applyFont="1" applyFill="1" applyBorder="1" applyAlignment="1">
      <alignment horizontal="center"/>
    </xf>
    <xf numFmtId="0" fontId="48" fillId="20" borderId="12" xfId="0" applyFont="1" applyFill="1" applyBorder="1" applyAlignment="1">
      <alignment horizontal="center"/>
    </xf>
    <xf numFmtId="0" fontId="79" fillId="19" borderId="64" xfId="0" applyFont="1" applyFill="1" applyBorder="1" applyAlignment="1">
      <alignment horizontal="center" vertical="center"/>
    </xf>
    <xf numFmtId="0" fontId="79" fillId="19" borderId="65" xfId="0" applyFont="1" applyFill="1" applyBorder="1" applyAlignment="1">
      <alignment horizontal="center" vertical="center"/>
    </xf>
    <xf numFmtId="0" fontId="51" fillId="0" borderId="1" xfId="0" applyFont="1" applyBorder="1" applyAlignment="1">
      <alignment horizontal="left" vertical="top" wrapText="1"/>
    </xf>
    <xf numFmtId="0" fontId="89" fillId="10" borderId="10" xfId="0" applyFont="1" applyFill="1" applyBorder="1" applyAlignment="1">
      <alignment horizontal="center" vertical="center"/>
    </xf>
    <xf numFmtId="0" fontId="89" fillId="10" borderId="2" xfId="0" applyFont="1" applyFill="1" applyBorder="1" applyAlignment="1">
      <alignment horizontal="center" vertical="center"/>
    </xf>
    <xf numFmtId="0" fontId="51" fillId="0" borderId="6" xfId="0" applyFont="1" applyBorder="1" applyAlignment="1">
      <alignment horizontal="left" vertical="top" wrapText="1"/>
    </xf>
    <xf numFmtId="0" fontId="51" fillId="0" borderId="7" xfId="0" applyFont="1" applyBorder="1" applyAlignment="1">
      <alignment horizontal="left" vertical="top" wrapText="1"/>
    </xf>
    <xf numFmtId="0" fontId="60" fillId="0" borderId="0" xfId="0" applyFont="1" applyAlignment="1">
      <alignment horizontal="center"/>
    </xf>
    <xf numFmtId="0" fontId="51" fillId="0" borderId="4" xfId="0" applyFont="1" applyBorder="1" applyAlignment="1">
      <alignment horizontal="center" vertical="center"/>
    </xf>
    <xf numFmtId="0" fontId="51" fillId="0" borderId="18" xfId="0" applyFont="1" applyBorder="1" applyAlignment="1">
      <alignment horizontal="center" vertical="center"/>
    </xf>
    <xf numFmtId="0" fontId="51" fillId="0" borderId="3" xfId="0" applyFont="1" applyBorder="1" applyAlignment="1">
      <alignment horizontal="center" vertical="center"/>
    </xf>
    <xf numFmtId="0" fontId="51" fillId="0" borderId="1" xfId="0" applyFont="1" applyBorder="1" applyAlignment="1">
      <alignment horizontal="left" vertical="center" wrapText="1"/>
    </xf>
    <xf numFmtId="0" fontId="0" fillId="0" borderId="0" xfId="0" applyAlignment="1">
      <alignment horizontal="center" vertical="top"/>
    </xf>
    <xf numFmtId="0" fontId="51" fillId="0" borderId="4" xfId="0" applyFont="1" applyBorder="1" applyAlignment="1">
      <alignment horizontal="center" vertical="top" wrapText="1"/>
    </xf>
    <xf numFmtId="0" fontId="51" fillId="0" borderId="18" xfId="0" applyFont="1" applyBorder="1" applyAlignment="1">
      <alignment horizontal="center" vertical="top" wrapText="1"/>
    </xf>
    <xf numFmtId="0" fontId="51" fillId="0" borderId="3" xfId="0" applyFont="1" applyBorder="1" applyAlignment="1">
      <alignment horizontal="center" vertical="top" wrapText="1"/>
    </xf>
    <xf numFmtId="2" fontId="51" fillId="0" borderId="4" xfId="0" applyNumberFormat="1" applyFont="1" applyBorder="1" applyAlignment="1">
      <alignment horizontal="center" vertical="center"/>
    </xf>
    <xf numFmtId="2" fontId="51" fillId="0" borderId="18" xfId="0" applyNumberFormat="1" applyFont="1" applyBorder="1" applyAlignment="1">
      <alignment horizontal="center" vertical="center"/>
    </xf>
    <xf numFmtId="2" fontId="51" fillId="0" borderId="3" xfId="0" applyNumberFormat="1" applyFont="1" applyBorder="1" applyAlignment="1">
      <alignment horizontal="center" vertical="center"/>
    </xf>
    <xf numFmtId="0" fontId="51" fillId="0" borderId="8" xfId="0" applyFont="1" applyBorder="1" applyAlignment="1">
      <alignment horizontal="left" vertical="top" wrapText="1"/>
    </xf>
    <xf numFmtId="0" fontId="51" fillId="0" borderId="9" xfId="0" applyFont="1" applyBorder="1" applyAlignment="1">
      <alignment horizontal="left" vertical="top" wrapText="1"/>
    </xf>
    <xf numFmtId="2" fontId="72" fillId="0" borderId="4" xfId="0" applyNumberFormat="1" applyFont="1" applyBorder="1" applyAlignment="1">
      <alignment horizontal="center" vertical="center"/>
    </xf>
    <xf numFmtId="2" fontId="72" fillId="0" borderId="18" xfId="0" applyNumberFormat="1" applyFont="1" applyBorder="1" applyAlignment="1">
      <alignment horizontal="center" vertical="center"/>
    </xf>
    <xf numFmtId="2" fontId="72" fillId="0" borderId="3" xfId="0" applyNumberFormat="1" applyFont="1" applyBorder="1" applyAlignment="1">
      <alignment horizontal="center" vertical="center"/>
    </xf>
    <xf numFmtId="0" fontId="51" fillId="0" borderId="17" xfId="0" applyFont="1" applyBorder="1" applyAlignment="1">
      <alignment horizontal="left" vertical="top" wrapText="1"/>
    </xf>
    <xf numFmtId="0" fontId="51" fillId="0" borderId="5" xfId="0" applyFont="1" applyBorder="1" applyAlignment="1">
      <alignment horizontal="left" vertical="top" wrapText="1"/>
    </xf>
    <xf numFmtId="0" fontId="26" fillId="0" borderId="0" xfId="0" applyFont="1" applyAlignment="1">
      <alignment horizontal="center"/>
    </xf>
    <xf numFmtId="0" fontId="6" fillId="0" borderId="0" xfId="0" applyFont="1" applyAlignment="1">
      <alignment horizontal="center"/>
    </xf>
    <xf numFmtId="2" fontId="88" fillId="0" borderId="0" xfId="0" applyNumberFormat="1" applyFont="1" applyAlignment="1">
      <alignment horizontal="center" vertical="center"/>
    </xf>
    <xf numFmtId="2" fontId="12" fillId="0" borderId="0" xfId="0" applyNumberFormat="1" applyFont="1" applyAlignment="1">
      <alignment horizontal="center" vertical="center"/>
    </xf>
    <xf numFmtId="0" fontId="10" fillId="10" borderId="4" xfId="0" applyFont="1" applyFill="1" applyBorder="1" applyAlignment="1">
      <alignment horizontal="center"/>
    </xf>
    <xf numFmtId="0" fontId="4" fillId="0" borderId="0" xfId="0" applyFont="1" applyAlignment="1">
      <alignment horizontal="center"/>
    </xf>
    <xf numFmtId="0" fontId="6" fillId="0" borderId="0" xfId="0" applyFont="1" applyAlignment="1">
      <alignment horizontal="center" vertical="center"/>
    </xf>
    <xf numFmtId="0" fontId="2" fillId="0" borderId="0" xfId="0" applyFont="1" applyAlignment="1">
      <alignment horizontal="center" vertical="center"/>
    </xf>
    <xf numFmtId="0" fontId="1" fillId="0" borderId="13" xfId="0" applyFont="1" applyBorder="1" applyAlignment="1">
      <alignment horizontal="left" vertical="center" wrapText="1"/>
    </xf>
    <xf numFmtId="0" fontId="1" fillId="0" borderId="14" xfId="0" applyFont="1" applyBorder="1" applyAlignment="1">
      <alignment horizontal="left" vertical="center" wrapText="1"/>
    </xf>
    <xf numFmtId="0" fontId="1" fillId="0" borderId="15" xfId="0" applyFont="1" applyBorder="1" applyAlignment="1">
      <alignment horizontal="left" vertical="center" wrapText="1"/>
    </xf>
    <xf numFmtId="0" fontId="23" fillId="0" borderId="10" xfId="1" applyNumberFormat="1" applyFont="1" applyBorder="1" applyAlignment="1">
      <alignment horizontal="center" vertical="center" wrapText="1"/>
    </xf>
    <xf numFmtId="0" fontId="23" fillId="0" borderId="2" xfId="1" applyNumberFormat="1" applyFont="1" applyBorder="1" applyAlignment="1">
      <alignment horizontal="center" vertical="center" wrapText="1"/>
    </xf>
    <xf numFmtId="0" fontId="37" fillId="0" borderId="19" xfId="0" applyFont="1" applyBorder="1" applyAlignment="1">
      <alignment horizontal="center" vertical="center"/>
    </xf>
    <xf numFmtId="0" fontId="33" fillId="10" borderId="19" xfId="0" applyFont="1" applyFill="1" applyBorder="1" applyAlignment="1">
      <alignment horizontal="center" vertical="center" wrapText="1"/>
    </xf>
    <xf numFmtId="0" fontId="1" fillId="0" borderId="17" xfId="0" applyFont="1" applyBorder="1" applyAlignment="1">
      <alignment horizontal="center" vertical="top" wrapText="1"/>
    </xf>
    <xf numFmtId="0" fontId="1" fillId="0" borderId="5" xfId="0" applyFont="1" applyBorder="1" applyAlignment="1">
      <alignment horizontal="center" vertical="top" wrapText="1"/>
    </xf>
    <xf numFmtId="1" fontId="1" fillId="0" borderId="24" xfId="1" applyNumberFormat="1" applyFont="1" applyBorder="1" applyAlignment="1">
      <alignment horizontal="center" vertical="center"/>
    </xf>
    <xf numFmtId="1" fontId="1" fillId="0" borderId="25" xfId="1" applyNumberFormat="1" applyFont="1" applyBorder="1" applyAlignment="1">
      <alignment horizontal="center" vertical="center"/>
    </xf>
    <xf numFmtId="0" fontId="2" fillId="0" borderId="16" xfId="0" applyFont="1" applyBorder="1" applyAlignment="1">
      <alignment horizontal="center" vertical="center"/>
    </xf>
    <xf numFmtId="0" fontId="18" fillId="10" borderId="1" xfId="0" applyFont="1" applyFill="1" applyBorder="1" applyAlignment="1">
      <alignment horizontal="center" vertical="center" wrapText="1"/>
    </xf>
    <xf numFmtId="0" fontId="32" fillId="10" borderId="1" xfId="0" applyFont="1" applyFill="1" applyBorder="1" applyAlignment="1">
      <alignment horizontal="center" vertical="center"/>
    </xf>
    <xf numFmtId="0" fontId="12" fillId="0" borderId="0" xfId="0" applyFont="1" applyAlignment="1">
      <alignment horizontal="center" vertical="top"/>
    </xf>
    <xf numFmtId="0" fontId="14" fillId="12" borderId="10" xfId="0" applyFont="1" applyFill="1" applyBorder="1" applyAlignment="1">
      <alignment horizontal="center" vertical="center"/>
    </xf>
    <xf numFmtId="0" fontId="14" fillId="12" borderId="2" xfId="0" applyFont="1" applyFill="1" applyBorder="1" applyAlignment="1">
      <alignment horizontal="center" vertical="center"/>
    </xf>
    <xf numFmtId="0" fontId="35" fillId="0" borderId="19" xfId="0" applyFont="1" applyBorder="1" applyAlignment="1">
      <alignment horizontal="center" vertical="center"/>
    </xf>
    <xf numFmtId="0" fontId="1" fillId="0" borderId="1" xfId="0" applyFont="1" applyBorder="1" applyAlignment="1">
      <alignment horizontal="center"/>
    </xf>
    <xf numFmtId="0" fontId="11" fillId="10" borderId="1" xfId="0" applyFont="1" applyFill="1" applyBorder="1" applyAlignment="1">
      <alignment horizontal="center" vertical="center"/>
    </xf>
    <xf numFmtId="0" fontId="1" fillId="0" borderId="40" xfId="0" applyFont="1" applyBorder="1" applyAlignment="1">
      <alignment horizontal="left" vertical="top" wrapText="1"/>
    </xf>
    <xf numFmtId="0" fontId="1" fillId="0" borderId="39" xfId="0" applyFont="1" applyBorder="1" applyAlignment="1">
      <alignment horizontal="center" vertical="top" wrapText="1"/>
    </xf>
    <xf numFmtId="0" fontId="19" fillId="11" borderId="4" xfId="0" applyFont="1" applyFill="1" applyBorder="1" applyAlignment="1">
      <alignment horizontal="center" vertical="center" wrapText="1"/>
    </xf>
    <xf numFmtId="0" fontId="19" fillId="11" borderId="3" xfId="0" applyFont="1" applyFill="1" applyBorder="1" applyAlignment="1">
      <alignment horizontal="center" vertical="center" wrapText="1"/>
    </xf>
    <xf numFmtId="0" fontId="10" fillId="10" borderId="8" xfId="0" applyFont="1" applyFill="1" applyBorder="1" applyAlignment="1">
      <alignment horizontal="center" vertical="center"/>
    </xf>
    <xf numFmtId="0" fontId="10" fillId="10" borderId="12" xfId="0" applyFont="1" applyFill="1" applyBorder="1" applyAlignment="1">
      <alignment horizontal="center" vertical="center"/>
    </xf>
    <xf numFmtId="0" fontId="10" fillId="10" borderId="9" xfId="0" applyFont="1" applyFill="1" applyBorder="1" applyAlignment="1">
      <alignment horizontal="center" vertical="center"/>
    </xf>
    <xf numFmtId="0" fontId="27" fillId="10" borderId="10" xfId="0" applyFont="1" applyFill="1" applyBorder="1" applyAlignment="1">
      <alignment horizontal="center" vertical="top"/>
    </xf>
    <xf numFmtId="0" fontId="27" fillId="10" borderId="2" xfId="0" applyFont="1" applyFill="1" applyBorder="1" applyAlignment="1">
      <alignment horizontal="center" vertical="top"/>
    </xf>
    <xf numFmtId="0" fontId="18" fillId="10" borderId="10" xfId="0" applyFont="1" applyFill="1" applyBorder="1" applyAlignment="1">
      <alignment horizontal="center" vertical="center"/>
    </xf>
    <xf numFmtId="0" fontId="18" fillId="10" borderId="31" xfId="0" applyFont="1" applyFill="1" applyBorder="1" applyAlignment="1">
      <alignment horizontal="center" vertical="center"/>
    </xf>
    <xf numFmtId="0" fontId="18" fillId="10" borderId="2" xfId="0" applyFont="1" applyFill="1" applyBorder="1" applyAlignment="1">
      <alignment horizontal="center" vertical="center"/>
    </xf>
    <xf numFmtId="1" fontId="1" fillId="0" borderId="17" xfId="1" applyNumberFormat="1" applyFont="1" applyBorder="1" applyAlignment="1">
      <alignment horizontal="center" vertical="center"/>
    </xf>
    <xf numFmtId="1" fontId="1" fillId="0" borderId="11" xfId="1" applyNumberFormat="1" applyFont="1" applyBorder="1" applyAlignment="1">
      <alignment horizontal="center" vertical="center"/>
    </xf>
    <xf numFmtId="1" fontId="1" fillId="0" borderId="20" xfId="1" applyNumberFormat="1" applyFont="1" applyBorder="1" applyAlignment="1">
      <alignment horizontal="center" vertical="center"/>
    </xf>
    <xf numFmtId="1" fontId="1" fillId="0" borderId="21" xfId="1" applyNumberFormat="1" applyFont="1" applyBorder="1" applyAlignment="1">
      <alignment horizontal="center" vertical="center"/>
    </xf>
    <xf numFmtId="1" fontId="1" fillId="0" borderId="22" xfId="1" applyNumberFormat="1" applyFont="1" applyBorder="1" applyAlignment="1">
      <alignment horizontal="center" vertical="center"/>
    </xf>
    <xf numFmtId="1" fontId="1" fillId="0" borderId="23" xfId="1" applyNumberFormat="1" applyFont="1" applyBorder="1" applyAlignment="1">
      <alignment horizontal="center" vertical="center"/>
    </xf>
    <xf numFmtId="0" fontId="1" fillId="0" borderId="8" xfId="0" applyFont="1" applyBorder="1" applyAlignment="1">
      <alignment horizontal="center" vertical="top" wrapText="1"/>
    </xf>
    <xf numFmtId="0" fontId="1" fillId="0" borderId="9" xfId="0" applyFont="1" applyBorder="1" applyAlignment="1">
      <alignment horizontal="center" vertical="top" wrapText="1"/>
    </xf>
    <xf numFmtId="0" fontId="1" fillId="0" borderId="28" xfId="0" applyFont="1" applyBorder="1" applyAlignment="1">
      <alignment horizontal="center" vertical="center"/>
    </xf>
    <xf numFmtId="0" fontId="34" fillId="0" borderId="1" xfId="0" applyFont="1" applyBorder="1" applyAlignment="1">
      <alignment horizontal="center" vertical="center"/>
    </xf>
    <xf numFmtId="0" fontId="36" fillId="17" borderId="1" xfId="0" applyFont="1" applyFill="1" applyBorder="1" applyAlignment="1">
      <alignment horizontal="center" vertical="center" textRotation="90" wrapText="1"/>
    </xf>
    <xf numFmtId="0" fontId="1" fillId="16" borderId="43" xfId="0" applyFont="1" applyFill="1" applyBorder="1" applyAlignment="1">
      <alignment horizontal="center" vertical="center" wrapText="1"/>
    </xf>
    <xf numFmtId="0" fontId="1" fillId="16" borderId="44" xfId="0" applyFont="1" applyFill="1" applyBorder="1" applyAlignment="1">
      <alignment horizontal="center" vertical="center" wrapText="1"/>
    </xf>
    <xf numFmtId="0" fontId="1" fillId="16" borderId="45" xfId="0" applyFont="1" applyFill="1" applyBorder="1" applyAlignment="1">
      <alignment horizontal="center" vertical="center" wrapText="1"/>
    </xf>
    <xf numFmtId="0" fontId="1" fillId="16" borderId="46" xfId="0" applyFont="1" applyFill="1" applyBorder="1" applyAlignment="1">
      <alignment horizontal="center" vertical="center" wrapText="1"/>
    </xf>
    <xf numFmtId="0" fontId="1" fillId="16" borderId="47" xfId="0" applyFont="1" applyFill="1" applyBorder="1" applyAlignment="1">
      <alignment horizontal="center" vertical="center" wrapText="1"/>
    </xf>
    <xf numFmtId="0" fontId="1" fillId="16" borderId="48" xfId="0" applyFont="1" applyFill="1" applyBorder="1" applyAlignment="1">
      <alignment horizontal="center" vertical="center" wrapText="1"/>
    </xf>
    <xf numFmtId="0" fontId="12" fillId="0" borderId="1" xfId="0" applyFont="1" applyBorder="1" applyAlignment="1">
      <alignment horizontal="center" vertical="center"/>
    </xf>
    <xf numFmtId="0" fontId="18" fillId="10" borderId="1" xfId="0" applyFont="1" applyFill="1" applyBorder="1" applyAlignment="1">
      <alignment horizontal="center" vertical="center"/>
    </xf>
    <xf numFmtId="0" fontId="6" fillId="0" borderId="10" xfId="1" applyNumberFormat="1" applyFont="1" applyBorder="1" applyAlignment="1">
      <alignment horizontal="center" vertical="center"/>
    </xf>
    <xf numFmtId="0" fontId="6" fillId="0" borderId="2" xfId="1" applyNumberFormat="1" applyFont="1" applyBorder="1" applyAlignment="1">
      <alignment horizontal="center" vertical="center"/>
    </xf>
    <xf numFmtId="0" fontId="17" fillId="10" borderId="1" xfId="0" applyFont="1" applyFill="1" applyBorder="1" applyAlignment="1">
      <alignment horizontal="center" vertical="center"/>
    </xf>
    <xf numFmtId="1" fontId="6" fillId="0" borderId="1" xfId="1" applyNumberFormat="1" applyFont="1" applyBorder="1" applyAlignment="1">
      <alignment horizontal="center" vertical="center"/>
    </xf>
    <xf numFmtId="0" fontId="1" fillId="0" borderId="6" xfId="0" applyFont="1" applyBorder="1" applyAlignment="1">
      <alignment horizontal="left"/>
    </xf>
    <xf numFmtId="0" fontId="1" fillId="0" borderId="7" xfId="0" applyFont="1" applyBorder="1" applyAlignment="1">
      <alignment horizontal="left"/>
    </xf>
    <xf numFmtId="0" fontId="1" fillId="0" borderId="6" xfId="0" applyFont="1" applyBorder="1" applyAlignment="1">
      <alignment horizontal="left" wrapText="1"/>
    </xf>
    <xf numFmtId="0" fontId="1" fillId="0" borderId="7" xfId="0" applyFont="1" applyBorder="1" applyAlignment="1">
      <alignment horizontal="left" wrapText="1"/>
    </xf>
    <xf numFmtId="0" fontId="1" fillId="0" borderId="12" xfId="0" applyFont="1" applyBorder="1" applyAlignment="1">
      <alignment horizontal="left" vertical="top" wrapText="1"/>
    </xf>
    <xf numFmtId="0" fontId="1" fillId="0" borderId="17" xfId="1" applyNumberFormat="1" applyFont="1" applyBorder="1" applyAlignment="1">
      <alignment horizontal="center" vertical="center"/>
    </xf>
    <xf numFmtId="0" fontId="1" fillId="0" borderId="8" xfId="1" applyNumberFormat="1" applyFont="1" applyBorder="1" applyAlignment="1">
      <alignment horizontal="center" vertical="center"/>
    </xf>
    <xf numFmtId="2" fontId="1" fillId="0" borderId="17" xfId="1" applyNumberFormat="1" applyFont="1" applyBorder="1" applyAlignment="1">
      <alignment horizontal="center" vertical="center"/>
    </xf>
    <xf numFmtId="2" fontId="1" fillId="0" borderId="11" xfId="1" applyNumberFormat="1" applyFont="1" applyBorder="1" applyAlignment="1">
      <alignment horizontal="center" vertical="center"/>
    </xf>
    <xf numFmtId="2" fontId="1" fillId="0" borderId="20" xfId="1" applyNumberFormat="1" applyFont="1" applyBorder="1" applyAlignment="1">
      <alignment horizontal="center" vertical="center"/>
    </xf>
    <xf numFmtId="2" fontId="1" fillId="0" borderId="21" xfId="1" applyNumberFormat="1" applyFont="1" applyBorder="1" applyAlignment="1">
      <alignment horizontal="center" vertical="center"/>
    </xf>
    <xf numFmtId="2" fontId="1" fillId="0" borderId="22" xfId="1" applyNumberFormat="1" applyFont="1" applyBorder="1" applyAlignment="1">
      <alignment horizontal="center" vertical="center"/>
    </xf>
    <xf numFmtId="2" fontId="1" fillId="0" borderId="23" xfId="1" applyNumberFormat="1" applyFont="1" applyBorder="1" applyAlignment="1">
      <alignment horizontal="center" vertical="center"/>
    </xf>
    <xf numFmtId="0" fontId="1" fillId="0" borderId="1" xfId="1" applyNumberFormat="1" applyFont="1" applyBorder="1" applyAlignment="1">
      <alignment horizontal="center" vertical="center"/>
    </xf>
    <xf numFmtId="0" fontId="1" fillId="0" borderId="6" xfId="1" applyNumberFormat="1" applyFont="1" applyBorder="1" applyAlignment="1">
      <alignment horizontal="center" vertical="center"/>
    </xf>
    <xf numFmtId="0" fontId="20" fillId="10" borderId="1" xfId="0" applyFont="1" applyFill="1" applyBorder="1" applyAlignment="1">
      <alignment horizontal="center"/>
    </xf>
    <xf numFmtId="0" fontId="25" fillId="0" borderId="19" xfId="1" applyNumberFormat="1" applyFont="1" applyBorder="1" applyAlignment="1">
      <alignment horizontal="center" vertical="center"/>
    </xf>
    <xf numFmtId="0" fontId="1" fillId="0" borderId="19" xfId="1" applyNumberFormat="1" applyFont="1" applyBorder="1" applyAlignment="1">
      <alignment horizontal="center" vertical="center"/>
    </xf>
    <xf numFmtId="0" fontId="1" fillId="0" borderId="10" xfId="1" applyNumberFormat="1" applyFont="1" applyBorder="1" applyAlignment="1">
      <alignment horizontal="center" vertical="center"/>
    </xf>
    <xf numFmtId="2" fontId="1" fillId="0" borderId="19" xfId="1" applyNumberFormat="1" applyFont="1" applyBorder="1" applyAlignment="1">
      <alignment horizontal="center" vertical="center"/>
    </xf>
    <xf numFmtId="0" fontId="1" fillId="15" borderId="1" xfId="0" applyFont="1" applyFill="1" applyBorder="1" applyAlignment="1">
      <alignment horizontal="center" vertical="center"/>
    </xf>
    <xf numFmtId="0" fontId="10" fillId="10" borderId="10" xfId="0" applyFont="1" applyFill="1" applyBorder="1" applyAlignment="1">
      <alignment horizontal="center" vertical="top"/>
    </xf>
    <xf numFmtId="0" fontId="10" fillId="10" borderId="2" xfId="0" applyFont="1" applyFill="1" applyBorder="1" applyAlignment="1">
      <alignment horizontal="center" vertical="top"/>
    </xf>
    <xf numFmtId="0" fontId="10" fillId="10" borderId="1" xfId="0" applyFont="1" applyFill="1" applyBorder="1" applyAlignment="1">
      <alignment horizontal="center" vertical="top"/>
    </xf>
    <xf numFmtId="0" fontId="1" fillId="6"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5" borderId="1" xfId="0" applyFont="1" applyFill="1" applyBorder="1" applyAlignment="1">
      <alignment horizontal="center" vertical="center"/>
    </xf>
    <xf numFmtId="0" fontId="1" fillId="9" borderId="1" xfId="0" applyFont="1" applyFill="1" applyBorder="1" applyAlignment="1">
      <alignment horizontal="center"/>
    </xf>
    <xf numFmtId="1" fontId="1" fillId="4" borderId="1" xfId="0" applyNumberFormat="1" applyFont="1" applyFill="1" applyBorder="1" applyAlignment="1">
      <alignment horizontal="center" vertical="center"/>
    </xf>
    <xf numFmtId="0" fontId="3" fillId="0" borderId="16" xfId="0" applyFont="1" applyBorder="1" applyAlignment="1">
      <alignment horizontal="center" vertical="center"/>
    </xf>
    <xf numFmtId="0" fontId="16" fillId="0" borderId="1" xfId="0" applyFont="1" applyBorder="1" applyAlignment="1">
      <alignment horizontal="center" vertical="center" wrapText="1"/>
    </xf>
    <xf numFmtId="0" fontId="1" fillId="13" borderId="1" xfId="0" applyFont="1" applyFill="1" applyBorder="1" applyAlignment="1">
      <alignment horizontal="center" vertical="center"/>
    </xf>
    <xf numFmtId="0" fontId="10" fillId="14" borderId="1" xfId="0" applyFont="1" applyFill="1" applyBorder="1" applyAlignment="1">
      <alignment horizontal="center" vertical="center"/>
    </xf>
    <xf numFmtId="0" fontId="16" fillId="0" borderId="10" xfId="1" applyNumberFormat="1" applyFont="1" applyBorder="1" applyAlignment="1">
      <alignment horizontal="center" vertical="top" wrapText="1"/>
    </xf>
    <xf numFmtId="0" fontId="16" fillId="0" borderId="2" xfId="1" applyNumberFormat="1" applyFont="1" applyBorder="1" applyAlignment="1">
      <alignment horizontal="center" vertical="top" wrapText="1"/>
    </xf>
    <xf numFmtId="1" fontId="1" fillId="0" borderId="19" xfId="1" applyNumberFormat="1" applyFont="1" applyBorder="1" applyAlignment="1">
      <alignment horizontal="center" vertical="center"/>
    </xf>
    <xf numFmtId="0" fontId="22" fillId="0" borderId="0" xfId="0" applyFont="1" applyAlignment="1">
      <alignment horizontal="left" vertical="top" wrapText="1"/>
    </xf>
    <xf numFmtId="0" fontId="22" fillId="0" borderId="7" xfId="0" applyFont="1" applyBorder="1" applyAlignment="1">
      <alignment horizontal="left" vertical="top" wrapText="1"/>
    </xf>
    <xf numFmtId="1" fontId="1" fillId="0" borderId="1" xfId="1" applyNumberFormat="1" applyFont="1" applyBorder="1" applyAlignment="1">
      <alignment horizontal="center" vertical="center"/>
    </xf>
    <xf numFmtId="1" fontId="1" fillId="0" borderId="10" xfId="1" applyNumberFormat="1" applyFont="1" applyBorder="1" applyAlignment="1">
      <alignment horizontal="center" vertical="center"/>
    </xf>
    <xf numFmtId="0" fontId="22" fillId="0" borderId="6" xfId="0" applyFont="1" applyBorder="1" applyAlignment="1">
      <alignment horizontal="center" vertical="top" wrapText="1"/>
    </xf>
    <xf numFmtId="0" fontId="22" fillId="0" borderId="7" xfId="0" applyFont="1" applyBorder="1" applyAlignment="1">
      <alignment horizontal="center" vertical="top" wrapText="1"/>
    </xf>
    <xf numFmtId="0" fontId="22" fillId="0" borderId="8" xfId="0" applyFont="1" applyBorder="1" applyAlignment="1">
      <alignment horizontal="center" vertical="top" wrapText="1"/>
    </xf>
    <xf numFmtId="0" fontId="22" fillId="0" borderId="9" xfId="0" applyFont="1" applyBorder="1" applyAlignment="1">
      <alignment horizontal="center" vertical="top" wrapText="1"/>
    </xf>
    <xf numFmtId="0" fontId="3" fillId="0" borderId="33" xfId="0" applyFont="1" applyBorder="1" applyAlignment="1">
      <alignment horizontal="center" vertical="center"/>
    </xf>
    <xf numFmtId="0" fontId="3" fillId="0" borderId="34" xfId="0" applyFont="1" applyBorder="1" applyAlignment="1">
      <alignment horizontal="center" vertical="center"/>
    </xf>
    <xf numFmtId="0" fontId="3" fillId="0" borderId="35" xfId="0" applyFont="1" applyBorder="1" applyAlignment="1">
      <alignment horizontal="center" vertical="center"/>
    </xf>
    <xf numFmtId="0" fontId="3" fillId="0" borderId="36"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2" fontId="1" fillId="0" borderId="24" xfId="1" applyNumberFormat="1" applyFont="1" applyBorder="1" applyAlignment="1">
      <alignment horizontal="center" vertical="center"/>
    </xf>
    <xf numFmtId="2" fontId="1" fillId="0" borderId="25" xfId="1" applyNumberFormat="1" applyFont="1" applyBorder="1" applyAlignment="1">
      <alignment horizontal="center" vertical="center"/>
    </xf>
    <xf numFmtId="0" fontId="22" fillId="0" borderId="39" xfId="0" applyFont="1" applyBorder="1" applyAlignment="1">
      <alignment horizontal="center" vertical="top" wrapText="1"/>
    </xf>
    <xf numFmtId="0" fontId="22" fillId="0" borderId="0" xfId="0" applyFont="1" applyAlignment="1">
      <alignment horizontal="center" vertical="top" wrapText="1"/>
    </xf>
    <xf numFmtId="0" fontId="1" fillId="0" borderId="18" xfId="0" applyFont="1" applyBorder="1" applyAlignment="1">
      <alignment horizontal="center" vertical="center"/>
    </xf>
    <xf numFmtId="0" fontId="22" fillId="0" borderId="41" xfId="0" applyFont="1" applyBorder="1" applyAlignment="1">
      <alignment horizontal="left" vertical="top" wrapText="1"/>
    </xf>
    <xf numFmtId="0" fontId="22" fillId="0" borderId="5" xfId="0" applyFont="1" applyBorder="1" applyAlignment="1">
      <alignment horizontal="left" vertical="top" wrapText="1"/>
    </xf>
    <xf numFmtId="0" fontId="22" fillId="0" borderId="6" xfId="0" applyFont="1" applyBorder="1" applyAlignment="1">
      <alignment horizontal="left" vertical="top" wrapText="1"/>
    </xf>
    <xf numFmtId="0" fontId="22" fillId="0" borderId="39" xfId="0" applyFont="1" applyBorder="1" applyAlignment="1">
      <alignment horizontal="left" vertical="top" wrapText="1"/>
    </xf>
    <xf numFmtId="1" fontId="1" fillId="0" borderId="26" xfId="1" applyNumberFormat="1" applyFont="1" applyBorder="1" applyAlignment="1">
      <alignment horizontal="center" vertical="center"/>
    </xf>
    <xf numFmtId="1" fontId="1" fillId="0" borderId="27" xfId="1" applyNumberFormat="1" applyFont="1" applyBorder="1" applyAlignment="1">
      <alignment horizontal="center" vertical="center"/>
    </xf>
    <xf numFmtId="0" fontId="22" fillId="0" borderId="6" xfId="0" applyFont="1" applyBorder="1" applyAlignment="1">
      <alignment horizontal="left" wrapText="1"/>
    </xf>
    <xf numFmtId="0" fontId="22" fillId="0" borderId="7" xfId="0" applyFont="1" applyBorder="1" applyAlignment="1">
      <alignment horizontal="left" wrapText="1"/>
    </xf>
    <xf numFmtId="2" fontId="1" fillId="0" borderId="30" xfId="1" applyNumberFormat="1" applyFont="1" applyBorder="1" applyAlignment="1">
      <alignment horizontal="center" vertical="center"/>
    </xf>
    <xf numFmtId="1" fontId="1" fillId="0" borderId="4" xfId="1" applyNumberFormat="1" applyFont="1" applyBorder="1" applyAlignment="1">
      <alignment horizontal="center" vertical="center"/>
    </xf>
    <xf numFmtId="1" fontId="1" fillId="0" borderId="3" xfId="1" applyNumberFormat="1" applyFont="1" applyBorder="1" applyAlignment="1">
      <alignment horizontal="center" vertical="center"/>
    </xf>
    <xf numFmtId="0" fontId="16" fillId="0" borderId="10" xfId="1" applyNumberFormat="1" applyFont="1" applyBorder="1" applyAlignment="1">
      <alignment horizontal="center" vertical="center" wrapText="1"/>
    </xf>
    <xf numFmtId="0" fontId="16" fillId="0" borderId="2" xfId="1" applyNumberFormat="1" applyFont="1" applyBorder="1" applyAlignment="1">
      <alignment horizontal="center" vertical="center" wrapText="1"/>
    </xf>
    <xf numFmtId="2" fontId="28" fillId="0" borderId="0" xfId="0" applyNumberFormat="1" applyFont="1" applyAlignment="1">
      <alignment horizontal="center" vertical="center"/>
    </xf>
    <xf numFmtId="1" fontId="91" fillId="0" borderId="55" xfId="0" applyNumberFormat="1" applyFont="1" applyBorder="1" applyAlignment="1">
      <alignment horizontal="center" vertical="center"/>
    </xf>
    <xf numFmtId="1" fontId="91" fillId="0" borderId="52" xfId="0" applyNumberFormat="1" applyFont="1" applyBorder="1" applyAlignment="1">
      <alignment horizontal="center" vertical="center"/>
    </xf>
    <xf numFmtId="1" fontId="91" fillId="0" borderId="50" xfId="0" applyNumberFormat="1" applyFont="1" applyBorder="1" applyAlignment="1">
      <alignment horizontal="center" vertical="center"/>
    </xf>
    <xf numFmtId="1" fontId="91" fillId="0" borderId="21" xfId="0" applyNumberFormat="1" applyFont="1" applyBorder="1" applyAlignment="1">
      <alignment horizontal="center" vertical="center"/>
    </xf>
    <xf numFmtId="1" fontId="91" fillId="0" borderId="22" xfId="0" applyNumberFormat="1" applyFont="1" applyBorder="1" applyAlignment="1">
      <alignment horizontal="center" vertical="center"/>
    </xf>
    <xf numFmtId="1" fontId="91" fillId="0" borderId="23" xfId="0" applyNumberFormat="1" applyFont="1" applyBorder="1" applyAlignment="1">
      <alignment horizontal="center" vertical="center"/>
    </xf>
    <xf numFmtId="0" fontId="25" fillId="0" borderId="24" xfId="1" applyNumberFormat="1" applyFont="1" applyBorder="1" applyAlignment="1">
      <alignment horizontal="center" vertical="center"/>
    </xf>
    <xf numFmtId="0" fontId="25" fillId="0" borderId="25" xfId="1" applyNumberFormat="1" applyFont="1" applyBorder="1" applyAlignment="1">
      <alignment horizontal="center" vertical="center"/>
    </xf>
    <xf numFmtId="0" fontId="1" fillId="0" borderId="1" xfId="0" applyFont="1" applyFill="1" applyBorder="1" applyAlignment="1">
      <alignment horizontal="center" vertical="center"/>
    </xf>
    <xf numFmtId="0" fontId="0" fillId="0" borderId="72" xfId="0" applyFill="1" applyBorder="1" applyAlignment="1">
      <alignment horizontal="center" vertical="center"/>
    </xf>
    <xf numFmtId="0" fontId="1" fillId="0" borderId="72" xfId="0" applyFont="1" applyFill="1" applyBorder="1" applyAlignment="1">
      <alignment horizontal="center" vertical="center"/>
    </xf>
    <xf numFmtId="0" fontId="53" fillId="29" borderId="62" xfId="0" applyFont="1" applyFill="1" applyBorder="1" applyAlignment="1">
      <alignment horizontal="center" vertical="center"/>
    </xf>
    <xf numFmtId="0" fontId="52" fillId="30" borderId="23" xfId="0" applyFont="1" applyFill="1" applyBorder="1" applyAlignment="1">
      <alignment horizontal="center" vertical="center"/>
    </xf>
  </cellXfs>
  <cellStyles count="3">
    <cellStyle name="Moneda" xfId="2" builtinId="4"/>
    <cellStyle name="Normal" xfId="0" builtinId="0"/>
    <cellStyle name="Porcentaje" xfId="1" builtinId="5"/>
  </cellStyles>
  <dxfs count="0"/>
  <tableStyles count="0" defaultTableStyle="TableStyleMedium2" defaultPivotStyle="PivotStyleLight16"/>
  <colors>
    <mruColors>
      <color rgb="FFFFCCCC"/>
      <color rgb="FFFF9999"/>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18" Type="http://schemas.microsoft.com/office/2017/10/relationships/person" Target="persons/person2.xml"/><Relationship Id="rId26" Type="http://schemas.microsoft.com/office/2017/10/relationships/person" Target="persons/person11.xml"/><Relationship Id="rId39" Type="http://schemas.microsoft.com/office/2017/10/relationships/person" Target="persons/person22.xml"/><Relationship Id="rId21" Type="http://schemas.microsoft.com/office/2017/10/relationships/person" Target="persons/person7.xml"/><Relationship Id="rId34" Type="http://schemas.microsoft.com/office/2017/10/relationships/person" Target="persons/person16.xml"/><Relationship Id="rId42" Type="http://schemas.microsoft.com/office/2017/10/relationships/person" Target="persons/person26.xml"/><Relationship Id="rId47" Type="http://schemas.microsoft.com/office/2017/10/relationships/person" Target="persons/person29.xml"/><Relationship Id="rId50" Type="http://schemas.microsoft.com/office/2017/10/relationships/person" Target="persons/person34.xml"/><Relationship Id="rId55" Type="http://schemas.microsoft.com/office/2017/10/relationships/person" Target="persons/person38.xml"/><Relationship Id="rId7" Type="http://schemas.openxmlformats.org/officeDocument/2006/relationships/worksheet" Target="worksheets/sheet7.xml"/><Relationship Id="rId2" Type="http://schemas.openxmlformats.org/officeDocument/2006/relationships/worksheet" Target="worksheets/sheet2.xml"/><Relationship Id="rId29" Type="http://schemas.microsoft.com/office/2017/10/relationships/person" Target="persons/person10.xml"/><Relationship Id="rId11" Type="http://schemas.openxmlformats.org/officeDocument/2006/relationships/styles" Target="styles.xml"/><Relationship Id="rId24" Type="http://schemas.microsoft.com/office/2017/10/relationships/person" Target="persons/person1.xml"/><Relationship Id="rId32" Type="http://schemas.microsoft.com/office/2017/10/relationships/person" Target="persons/person14.xml"/><Relationship Id="rId37" Type="http://schemas.microsoft.com/office/2017/10/relationships/person" Target="persons/person19.xml"/><Relationship Id="rId40" Type="http://schemas.microsoft.com/office/2017/10/relationships/person" Target="persons/person23.xml"/><Relationship Id="rId45" Type="http://schemas.microsoft.com/office/2017/10/relationships/person" Target="persons/person27.xml"/><Relationship Id="rId53" Type="http://schemas.microsoft.com/office/2017/10/relationships/person" Target="persons/person37.xml"/><Relationship Id="rId58" Type="http://schemas.microsoft.com/office/2017/10/relationships/person" Target="persons/person32.xml"/><Relationship Id="rId5" Type="http://schemas.openxmlformats.org/officeDocument/2006/relationships/worksheet" Target="worksheets/sheet5.xml"/><Relationship Id="rId19" Type="http://schemas.microsoft.com/office/2017/10/relationships/person" Target="persons/person5.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 Id="rId56" Type="http://schemas.microsoft.com/office/2017/10/relationships/person" Target="persons/person40.xml"/><Relationship Id="rId48" Type="http://schemas.microsoft.com/office/2017/10/relationships/person" Target="persons/person33.xml"/><Relationship Id="rId43" Type="http://schemas.microsoft.com/office/2017/10/relationships/person" Target="persons/person28.xml"/><Relationship Id="rId35" Type="http://schemas.microsoft.com/office/2017/10/relationships/person" Target="persons/person20.xml"/><Relationship Id="rId30" Type="http://schemas.microsoft.com/office/2017/10/relationships/person" Target="persons/person15.xml"/><Relationship Id="rId27" Type="http://schemas.microsoft.com/office/2017/10/relationships/person" Target="persons/person4.xml"/><Relationship Id="rId22" Type="http://schemas.microsoft.com/office/2017/10/relationships/person" Target="persons/person6.xml"/><Relationship Id="rId8" Type="http://schemas.openxmlformats.org/officeDocument/2006/relationships/worksheet" Target="worksheets/sheet8.xml"/><Relationship Id="rId51" Type="http://schemas.microsoft.com/office/2017/10/relationships/person" Target="persons/person36.xml"/><Relationship Id="rId3" Type="http://schemas.openxmlformats.org/officeDocument/2006/relationships/worksheet" Target="worksheets/sheet3.xml"/><Relationship Id="rId12" Type="http://schemas.openxmlformats.org/officeDocument/2006/relationships/sharedStrings" Target="sharedStrings.xml"/><Relationship Id="rId59" Type="http://schemas.microsoft.com/office/2017/10/relationships/person" Target="persons/person43.xml"/><Relationship Id="rId46" Type="http://schemas.microsoft.com/office/2017/10/relationships/person" Target="persons/person31.xml"/><Relationship Id="rId17" Type="http://schemas.microsoft.com/office/2017/10/relationships/person" Target="persons/person12.xml"/><Relationship Id="rId25" Type="http://schemas.microsoft.com/office/2017/10/relationships/person" Target="persons/person9.xml"/><Relationship Id="rId33" Type="http://schemas.microsoft.com/office/2017/10/relationships/person" Target="persons/person17.xml"/><Relationship Id="rId38" Type="http://schemas.microsoft.com/office/2017/10/relationships/person" Target="persons/person21.xml"/><Relationship Id="rId54" Type="http://schemas.microsoft.com/office/2017/10/relationships/person" Target="persons/person39.xml"/><Relationship Id="rId20" Type="http://schemas.microsoft.com/office/2017/10/relationships/person" Target="persons/person3.xml"/><Relationship Id="rId41" Type="http://schemas.microsoft.com/office/2017/10/relationships/person" Target="persons/person24.xml"/><Relationship Id="rId1" Type="http://schemas.openxmlformats.org/officeDocument/2006/relationships/worksheet" Target="worksheets/sheet1.xml"/><Relationship Id="rId6" Type="http://schemas.openxmlformats.org/officeDocument/2006/relationships/worksheet" Target="worksheets/sheet6.xml"/><Relationship Id="rId15" Type="http://schemas.microsoft.com/office/2017/10/relationships/person" Target="persons/person42.xml"/><Relationship Id="rId57" Type="http://schemas.microsoft.com/office/2017/10/relationships/person" Target="persons/person41.xml"/><Relationship Id="rId28" Type="http://schemas.microsoft.com/office/2017/10/relationships/person" Target="persons/person0.xml"/><Relationship Id="rId23" Type="http://schemas.microsoft.com/office/2017/10/relationships/person" Target="persons/person8.xml"/><Relationship Id="rId36" Type="http://schemas.microsoft.com/office/2017/10/relationships/person" Target="persons/person18.xml"/><Relationship Id="rId49" Type="http://schemas.microsoft.com/office/2017/10/relationships/person" Target="persons/person30.xml"/><Relationship Id="rId10" Type="http://schemas.openxmlformats.org/officeDocument/2006/relationships/theme" Target="theme/theme1.xml"/><Relationship Id="rId31" Type="http://schemas.microsoft.com/office/2017/10/relationships/person" Target="persons/person13.xml"/><Relationship Id="rId44" Type="http://schemas.microsoft.com/office/2017/10/relationships/person" Target="persons/person25.xml"/><Relationship Id="rId52" Type="http://schemas.microsoft.com/office/2017/10/relationships/person" Target="persons/person3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185574</xdr:colOff>
      <xdr:row>1</xdr:row>
      <xdr:rowOff>31053</xdr:rowOff>
    </xdr:from>
    <xdr:to>
      <xdr:col>1</xdr:col>
      <xdr:colOff>363246</xdr:colOff>
      <xdr:row>3</xdr:row>
      <xdr:rowOff>185326</xdr:rowOff>
    </xdr:to>
    <xdr:pic>
      <xdr:nvPicPr>
        <xdr:cNvPr id="2" name="Imagen 1">
          <a:extLst>
            <a:ext uri="{FF2B5EF4-FFF2-40B4-BE49-F238E27FC236}">
              <a16:creationId xmlns:a16="http://schemas.microsoft.com/office/drawing/2014/main" id="{962D3D99-C736-4F5C-98DF-30A037E4F158}"/>
            </a:ext>
          </a:extLst>
        </xdr:cNvPr>
        <xdr:cNvPicPr>
          <a:picLocks noChangeAspect="1"/>
        </xdr:cNvPicPr>
      </xdr:nvPicPr>
      <xdr:blipFill>
        <a:blip xmlns:r="http://schemas.openxmlformats.org/officeDocument/2006/relationships" r:embed="rId1"/>
        <a:stretch>
          <a:fillRect/>
        </a:stretch>
      </xdr:blipFill>
      <xdr:spPr>
        <a:xfrm>
          <a:off x="185574" y="221553"/>
          <a:ext cx="1292097" cy="53527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185574</xdr:colOff>
      <xdr:row>1</xdr:row>
      <xdr:rowOff>31053</xdr:rowOff>
    </xdr:from>
    <xdr:to>
      <xdr:col>1</xdr:col>
      <xdr:colOff>363246</xdr:colOff>
      <xdr:row>3</xdr:row>
      <xdr:rowOff>185326</xdr:rowOff>
    </xdr:to>
    <xdr:pic>
      <xdr:nvPicPr>
        <xdr:cNvPr id="2" name="Imagen 1">
          <a:extLst>
            <a:ext uri="{FF2B5EF4-FFF2-40B4-BE49-F238E27FC236}">
              <a16:creationId xmlns:a16="http://schemas.microsoft.com/office/drawing/2014/main" id="{29EA4BEA-5BDD-46C0-93DC-1A65B0629218}"/>
            </a:ext>
          </a:extLst>
        </xdr:cNvPr>
        <xdr:cNvPicPr>
          <a:picLocks noChangeAspect="1"/>
        </xdr:cNvPicPr>
      </xdr:nvPicPr>
      <xdr:blipFill>
        <a:blip xmlns:r="http://schemas.openxmlformats.org/officeDocument/2006/relationships" r:embed="rId1"/>
        <a:stretch>
          <a:fillRect/>
        </a:stretch>
      </xdr:blipFill>
      <xdr:spPr>
        <a:xfrm>
          <a:off x="185574" y="221553"/>
          <a:ext cx="1292097" cy="53527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185574</xdr:colOff>
      <xdr:row>1</xdr:row>
      <xdr:rowOff>31053</xdr:rowOff>
    </xdr:from>
    <xdr:to>
      <xdr:col>1</xdr:col>
      <xdr:colOff>363246</xdr:colOff>
      <xdr:row>3</xdr:row>
      <xdr:rowOff>185326</xdr:rowOff>
    </xdr:to>
    <xdr:pic>
      <xdr:nvPicPr>
        <xdr:cNvPr id="2" name="Imagen 1">
          <a:extLst>
            <a:ext uri="{FF2B5EF4-FFF2-40B4-BE49-F238E27FC236}">
              <a16:creationId xmlns:a16="http://schemas.microsoft.com/office/drawing/2014/main" id="{9FD3AA67-D852-4EC8-A027-A5F97854B789}"/>
            </a:ext>
          </a:extLst>
        </xdr:cNvPr>
        <xdr:cNvPicPr>
          <a:picLocks noChangeAspect="1"/>
        </xdr:cNvPicPr>
      </xdr:nvPicPr>
      <xdr:blipFill>
        <a:blip xmlns:r="http://schemas.openxmlformats.org/officeDocument/2006/relationships" r:embed="rId1"/>
        <a:stretch>
          <a:fillRect/>
        </a:stretch>
      </xdr:blipFill>
      <xdr:spPr>
        <a:xfrm>
          <a:off x="185574" y="225441"/>
          <a:ext cx="1295402" cy="54304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185574</xdr:colOff>
      <xdr:row>1</xdr:row>
      <xdr:rowOff>31053</xdr:rowOff>
    </xdr:from>
    <xdr:to>
      <xdr:col>1</xdr:col>
      <xdr:colOff>420396</xdr:colOff>
      <xdr:row>3</xdr:row>
      <xdr:rowOff>185326</xdr:rowOff>
    </xdr:to>
    <xdr:pic>
      <xdr:nvPicPr>
        <xdr:cNvPr id="3" name="Imagen 2">
          <a:extLst>
            <a:ext uri="{FF2B5EF4-FFF2-40B4-BE49-F238E27FC236}">
              <a16:creationId xmlns:a16="http://schemas.microsoft.com/office/drawing/2014/main" id="{8A781B0F-3AEB-4108-8876-D5D7DC3E4D22}"/>
            </a:ext>
          </a:extLst>
        </xdr:cNvPr>
        <xdr:cNvPicPr>
          <a:picLocks noChangeAspect="1"/>
        </xdr:cNvPicPr>
      </xdr:nvPicPr>
      <xdr:blipFill>
        <a:blip xmlns:r="http://schemas.openxmlformats.org/officeDocument/2006/relationships" r:embed="rId1"/>
        <a:stretch>
          <a:fillRect/>
        </a:stretch>
      </xdr:blipFill>
      <xdr:spPr>
        <a:xfrm>
          <a:off x="185574" y="221553"/>
          <a:ext cx="1292097" cy="53527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186516</xdr:colOff>
      <xdr:row>1</xdr:row>
      <xdr:rowOff>57511</xdr:rowOff>
    </xdr:from>
    <xdr:to>
      <xdr:col>1</xdr:col>
      <xdr:colOff>703581</xdr:colOff>
      <xdr:row>4</xdr:row>
      <xdr:rowOff>18302</xdr:rowOff>
    </xdr:to>
    <xdr:pic>
      <xdr:nvPicPr>
        <xdr:cNvPr id="2" name="Imagen 1">
          <a:extLst>
            <a:ext uri="{FF2B5EF4-FFF2-40B4-BE49-F238E27FC236}">
              <a16:creationId xmlns:a16="http://schemas.microsoft.com/office/drawing/2014/main" id="{01E5F94F-BFFB-4BE5-9AE0-B5A832C94638}"/>
            </a:ext>
          </a:extLst>
        </xdr:cNvPr>
        <xdr:cNvPicPr>
          <a:picLocks noChangeAspect="1"/>
        </xdr:cNvPicPr>
      </xdr:nvPicPr>
      <xdr:blipFill>
        <a:blip xmlns:r="http://schemas.openxmlformats.org/officeDocument/2006/relationships" r:embed="rId1"/>
        <a:stretch>
          <a:fillRect/>
        </a:stretch>
      </xdr:blipFill>
      <xdr:spPr>
        <a:xfrm>
          <a:off x="186516" y="238486"/>
          <a:ext cx="1326690" cy="51324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108859</xdr:colOff>
      <xdr:row>1</xdr:row>
      <xdr:rowOff>134062</xdr:rowOff>
    </xdr:from>
    <xdr:to>
      <xdr:col>2</xdr:col>
      <xdr:colOff>325482</xdr:colOff>
      <xdr:row>6</xdr:row>
      <xdr:rowOff>147278</xdr:rowOff>
    </xdr:to>
    <xdr:pic>
      <xdr:nvPicPr>
        <xdr:cNvPr id="2" name="Imagen 1">
          <a:extLst>
            <a:ext uri="{FF2B5EF4-FFF2-40B4-BE49-F238E27FC236}">
              <a16:creationId xmlns:a16="http://schemas.microsoft.com/office/drawing/2014/main" id="{02AAA89D-A6DC-4DBA-8247-83724BD284D9}"/>
            </a:ext>
          </a:extLst>
        </xdr:cNvPr>
        <xdr:cNvPicPr>
          <a:picLocks noChangeAspect="1"/>
        </xdr:cNvPicPr>
      </xdr:nvPicPr>
      <xdr:blipFill>
        <a:blip xmlns:r="http://schemas.openxmlformats.org/officeDocument/2006/relationships" r:embed="rId1"/>
        <a:stretch>
          <a:fillRect/>
        </a:stretch>
      </xdr:blipFill>
      <xdr:spPr>
        <a:xfrm>
          <a:off x="108859" y="310955"/>
          <a:ext cx="2257694" cy="93850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108859</xdr:colOff>
      <xdr:row>1</xdr:row>
      <xdr:rowOff>134062</xdr:rowOff>
    </xdr:from>
    <xdr:to>
      <xdr:col>2</xdr:col>
      <xdr:colOff>509579</xdr:colOff>
      <xdr:row>6</xdr:row>
      <xdr:rowOff>170709</xdr:rowOff>
    </xdr:to>
    <xdr:pic>
      <xdr:nvPicPr>
        <xdr:cNvPr id="2" name="Imagen 1">
          <a:extLst>
            <a:ext uri="{FF2B5EF4-FFF2-40B4-BE49-F238E27FC236}">
              <a16:creationId xmlns:a16="http://schemas.microsoft.com/office/drawing/2014/main" id="{637B7508-C879-41DB-8F33-DC569CE0D2FE}"/>
            </a:ext>
          </a:extLst>
        </xdr:cNvPr>
        <xdr:cNvPicPr>
          <a:picLocks noChangeAspect="1"/>
        </xdr:cNvPicPr>
      </xdr:nvPicPr>
      <xdr:blipFill>
        <a:blip xmlns:r="http://schemas.openxmlformats.org/officeDocument/2006/relationships" r:embed="rId1"/>
        <a:stretch>
          <a:fillRect/>
        </a:stretch>
      </xdr:blipFill>
      <xdr:spPr>
        <a:xfrm>
          <a:off x="108859" y="315037"/>
          <a:ext cx="2253612" cy="93546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108859</xdr:colOff>
      <xdr:row>1</xdr:row>
      <xdr:rowOff>134062</xdr:rowOff>
    </xdr:from>
    <xdr:to>
      <xdr:col>2</xdr:col>
      <xdr:colOff>543196</xdr:colOff>
      <xdr:row>6</xdr:row>
      <xdr:rowOff>136072</xdr:rowOff>
    </xdr:to>
    <xdr:pic>
      <xdr:nvPicPr>
        <xdr:cNvPr id="2" name="Imagen 1">
          <a:extLst>
            <a:ext uri="{FF2B5EF4-FFF2-40B4-BE49-F238E27FC236}">
              <a16:creationId xmlns:a16="http://schemas.microsoft.com/office/drawing/2014/main" id="{69192740-477A-4A68-9F88-5D3E6A261B13}"/>
            </a:ext>
          </a:extLst>
        </xdr:cNvPr>
        <xdr:cNvPicPr>
          <a:picLocks noChangeAspect="1"/>
        </xdr:cNvPicPr>
      </xdr:nvPicPr>
      <xdr:blipFill>
        <a:blip xmlns:r="http://schemas.openxmlformats.org/officeDocument/2006/relationships" r:embed="rId1"/>
        <a:stretch>
          <a:fillRect/>
        </a:stretch>
      </xdr:blipFill>
      <xdr:spPr>
        <a:xfrm>
          <a:off x="108859" y="315037"/>
          <a:ext cx="2253612" cy="93546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108859</xdr:colOff>
      <xdr:row>1</xdr:row>
      <xdr:rowOff>134062</xdr:rowOff>
    </xdr:from>
    <xdr:to>
      <xdr:col>2</xdr:col>
      <xdr:colOff>543196</xdr:colOff>
      <xdr:row>6</xdr:row>
      <xdr:rowOff>136072</xdr:rowOff>
    </xdr:to>
    <xdr:pic>
      <xdr:nvPicPr>
        <xdr:cNvPr id="2" name="Imagen 1">
          <a:extLst>
            <a:ext uri="{FF2B5EF4-FFF2-40B4-BE49-F238E27FC236}">
              <a16:creationId xmlns:a16="http://schemas.microsoft.com/office/drawing/2014/main" id="{38B49D05-7584-40F0-A758-62C53AFB360C}"/>
            </a:ext>
          </a:extLst>
        </xdr:cNvPr>
        <xdr:cNvPicPr>
          <a:picLocks noChangeAspect="1"/>
        </xdr:cNvPicPr>
      </xdr:nvPicPr>
      <xdr:blipFill>
        <a:blip xmlns:r="http://schemas.openxmlformats.org/officeDocument/2006/relationships" r:embed="rId1"/>
        <a:stretch>
          <a:fillRect/>
        </a:stretch>
      </xdr:blipFill>
      <xdr:spPr>
        <a:xfrm>
          <a:off x="108859" y="313356"/>
          <a:ext cx="2260896" cy="95451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ersons/person1.xml><?xml version="1.0" encoding="utf-8"?>
<personList xmlns="http://schemas.microsoft.com/office/spreadsheetml/2018/threadedcomments" xmlns:x="http://schemas.openxmlformats.org/spreadsheetml/2006/main"/>
</file>

<file path=xl/persons/person2.xml><?xml version="1.0" encoding="utf-8"?>
<personList xmlns="http://schemas.microsoft.com/office/spreadsheetml/2018/threadedcomments" xmlns:x="http://schemas.openxmlformats.org/spreadsheetml/2006/main"/>
</file>

<file path=xl/persons/person3.xml><?xml version="1.0" encoding="utf-8"?>
<personList xmlns="http://schemas.microsoft.com/office/spreadsheetml/2018/threadedcomments" xmlns:x="http://schemas.openxmlformats.org/spreadsheetml/2006/main"/>
</file>

<file path=xl/persons/person4.xml><?xml version="1.0" encoding="utf-8"?>
<personList xmlns="http://schemas.microsoft.com/office/spreadsheetml/2018/threadedcomments" xmlns:x="http://schemas.openxmlformats.org/spreadsheetml/2006/main"/>
</file>

<file path=xl/persons/person5.xml><?xml version="1.0" encoding="utf-8"?>
<personList xmlns="http://schemas.microsoft.com/office/spreadsheetml/2018/threadedcomments" xmlns:x="http://schemas.openxmlformats.org/spreadsheetml/2006/main"/>
</file>

<file path=xl/persons/person6.xml><?xml version="1.0" encoding="utf-8"?>
<personList xmlns="http://schemas.microsoft.com/office/spreadsheetml/2018/threadedcomments" xmlns:x="http://schemas.openxmlformats.org/spreadsheetml/2006/main"/>
</file>

<file path=xl/persons/person7.xml><?xml version="1.0" encoding="utf-8"?>
<personList xmlns="http://schemas.microsoft.com/office/spreadsheetml/2018/threadedcomments" xmlns:x="http://schemas.openxmlformats.org/spreadsheetml/2006/main"/>
</file>

<file path=xl/persons/person8.xml><?xml version="1.0" encoding="utf-8"?>
<personList xmlns="http://schemas.microsoft.com/office/spreadsheetml/2018/threadedcomments" xmlns:x="http://schemas.openxmlformats.org/spreadsheetml/2006/main"/>
</file>

<file path=xl/persons/person9.xml><?xml version="1.0" encoding="utf-8"?>
<personList xmlns="http://schemas.microsoft.com/office/spreadsheetml/2018/threadedcomments" xmlns:x="http://schemas.openxmlformats.org/spreadsheetml/2006/main"/>
</file>

<file path=xl/persons/person10.xml><?xml version="1.0" encoding="utf-8"?>
<personList xmlns="http://schemas.microsoft.com/office/spreadsheetml/2018/threadedcomments" xmlns:x="http://schemas.openxmlformats.org/spreadsheetml/2006/main"/>
</file>

<file path=xl/persons/person11.xml><?xml version="1.0" encoding="utf-8"?>
<personList xmlns="http://schemas.microsoft.com/office/spreadsheetml/2018/threadedcomments" xmlns:x="http://schemas.openxmlformats.org/spreadsheetml/2006/main"/>
</file>

<file path=xl/persons/person12.xml><?xml version="1.0" encoding="utf-8"?>
<personList xmlns="http://schemas.microsoft.com/office/spreadsheetml/2018/threadedcomments" xmlns:x="http://schemas.openxmlformats.org/spreadsheetml/2006/main"/>
</file>

<file path=xl/persons/person13.xml><?xml version="1.0" encoding="utf-8"?>
<personList xmlns="http://schemas.microsoft.com/office/spreadsheetml/2018/threadedcomments" xmlns:x="http://schemas.openxmlformats.org/spreadsheetml/2006/main"/>
</file>

<file path=xl/persons/person14.xml><?xml version="1.0" encoding="utf-8"?>
<personList xmlns="http://schemas.microsoft.com/office/spreadsheetml/2018/threadedcomments" xmlns:x="http://schemas.openxmlformats.org/spreadsheetml/2006/main"/>
</file>

<file path=xl/persons/person15.xml><?xml version="1.0" encoding="utf-8"?>
<personList xmlns="http://schemas.microsoft.com/office/spreadsheetml/2018/threadedcomments" xmlns:x="http://schemas.openxmlformats.org/spreadsheetml/2006/main"/>
</file>

<file path=xl/persons/person16.xml><?xml version="1.0" encoding="utf-8"?>
<personList xmlns="http://schemas.microsoft.com/office/spreadsheetml/2018/threadedcomments" xmlns:x="http://schemas.openxmlformats.org/spreadsheetml/2006/main"/>
</file>

<file path=xl/persons/person17.xml><?xml version="1.0" encoding="utf-8"?>
<personList xmlns="http://schemas.microsoft.com/office/spreadsheetml/2018/threadedcomments" xmlns:x="http://schemas.openxmlformats.org/spreadsheetml/2006/main"/>
</file>

<file path=xl/persons/person18.xml><?xml version="1.0" encoding="utf-8"?>
<personList xmlns="http://schemas.microsoft.com/office/spreadsheetml/2018/threadedcomments" xmlns:x="http://schemas.openxmlformats.org/spreadsheetml/2006/main"/>
</file>

<file path=xl/persons/person19.xml><?xml version="1.0" encoding="utf-8"?>
<personList xmlns="http://schemas.microsoft.com/office/spreadsheetml/2018/threadedcomments" xmlns:x="http://schemas.openxmlformats.org/spreadsheetml/2006/main"/>
</file>

<file path=xl/persons/person20.xml><?xml version="1.0" encoding="utf-8"?>
<personList xmlns="http://schemas.microsoft.com/office/spreadsheetml/2018/threadedcomments" xmlns:x="http://schemas.openxmlformats.org/spreadsheetml/2006/main"/>
</file>

<file path=xl/persons/person21.xml><?xml version="1.0" encoding="utf-8"?>
<personList xmlns="http://schemas.microsoft.com/office/spreadsheetml/2018/threadedcomments" xmlns:x="http://schemas.openxmlformats.org/spreadsheetml/2006/main"/>
</file>

<file path=xl/persons/person22.xml><?xml version="1.0" encoding="utf-8"?>
<personList xmlns="http://schemas.microsoft.com/office/spreadsheetml/2018/threadedcomments" xmlns:x="http://schemas.openxmlformats.org/spreadsheetml/2006/main"/>
</file>

<file path=xl/persons/person23.xml><?xml version="1.0" encoding="utf-8"?>
<personList xmlns="http://schemas.microsoft.com/office/spreadsheetml/2018/threadedcomments" xmlns:x="http://schemas.openxmlformats.org/spreadsheetml/2006/main"/>
</file>

<file path=xl/persons/person24.xml><?xml version="1.0" encoding="utf-8"?>
<personList xmlns="http://schemas.microsoft.com/office/spreadsheetml/2018/threadedcomments" xmlns:x="http://schemas.openxmlformats.org/spreadsheetml/2006/main"/>
</file>

<file path=xl/persons/person25.xml><?xml version="1.0" encoding="utf-8"?>
<personList xmlns="http://schemas.microsoft.com/office/spreadsheetml/2018/threadedcomments" xmlns:x="http://schemas.openxmlformats.org/spreadsheetml/2006/main"/>
</file>

<file path=xl/persons/person26.xml><?xml version="1.0" encoding="utf-8"?>
<personList xmlns="http://schemas.microsoft.com/office/spreadsheetml/2018/threadedcomments" xmlns:x="http://schemas.openxmlformats.org/spreadsheetml/2006/main"/>
</file>

<file path=xl/persons/person27.xml><?xml version="1.0" encoding="utf-8"?>
<personList xmlns="http://schemas.microsoft.com/office/spreadsheetml/2018/threadedcomments" xmlns:x="http://schemas.openxmlformats.org/spreadsheetml/2006/main"/>
</file>

<file path=xl/persons/person28.xml><?xml version="1.0" encoding="utf-8"?>
<personList xmlns="http://schemas.microsoft.com/office/spreadsheetml/2018/threadedcomments" xmlns:x="http://schemas.openxmlformats.org/spreadsheetml/2006/main"/>
</file>

<file path=xl/persons/person29.xml><?xml version="1.0" encoding="utf-8"?>
<personList xmlns="http://schemas.microsoft.com/office/spreadsheetml/2018/threadedcomments" xmlns:x="http://schemas.openxmlformats.org/spreadsheetml/2006/main"/>
</file>

<file path=xl/persons/person30.xml><?xml version="1.0" encoding="utf-8"?>
<personList xmlns="http://schemas.microsoft.com/office/spreadsheetml/2018/threadedcomments" xmlns:x="http://schemas.openxmlformats.org/spreadsheetml/2006/main"/>
</file>

<file path=xl/persons/person31.xml><?xml version="1.0" encoding="utf-8"?>
<personList xmlns="http://schemas.microsoft.com/office/spreadsheetml/2018/threadedcomments" xmlns:x="http://schemas.openxmlformats.org/spreadsheetml/2006/main"/>
</file>

<file path=xl/persons/person32.xml><?xml version="1.0" encoding="utf-8"?>
<personList xmlns="http://schemas.microsoft.com/office/spreadsheetml/2018/threadedcomments" xmlns:x="http://schemas.openxmlformats.org/spreadsheetml/2006/main"/>
</file>

<file path=xl/persons/person33.xml><?xml version="1.0" encoding="utf-8"?>
<personList xmlns="http://schemas.microsoft.com/office/spreadsheetml/2018/threadedcomments" xmlns:x="http://schemas.openxmlformats.org/spreadsheetml/2006/main"/>
</file>

<file path=xl/persons/person34.xml><?xml version="1.0" encoding="utf-8"?>
<personList xmlns="http://schemas.microsoft.com/office/spreadsheetml/2018/threadedcomments" xmlns:x="http://schemas.openxmlformats.org/spreadsheetml/2006/main"/>
</file>

<file path=xl/persons/person35.xml><?xml version="1.0" encoding="utf-8"?>
<personList xmlns="http://schemas.microsoft.com/office/spreadsheetml/2018/threadedcomments" xmlns:x="http://schemas.openxmlformats.org/spreadsheetml/2006/main"/>
</file>

<file path=xl/persons/person36.xml><?xml version="1.0" encoding="utf-8"?>
<personList xmlns="http://schemas.microsoft.com/office/spreadsheetml/2018/threadedcomments" xmlns:x="http://schemas.openxmlformats.org/spreadsheetml/2006/main"/>
</file>

<file path=xl/persons/person37.xml><?xml version="1.0" encoding="utf-8"?>
<personList xmlns="http://schemas.microsoft.com/office/spreadsheetml/2018/threadedcomments" xmlns:x="http://schemas.openxmlformats.org/spreadsheetml/2006/main"/>
</file>

<file path=xl/persons/person38.xml><?xml version="1.0" encoding="utf-8"?>
<personList xmlns="http://schemas.microsoft.com/office/spreadsheetml/2018/threadedcomments" xmlns:x="http://schemas.openxmlformats.org/spreadsheetml/2006/main"/>
</file>

<file path=xl/persons/person39.xml><?xml version="1.0" encoding="utf-8"?>
<personList xmlns="http://schemas.microsoft.com/office/spreadsheetml/2018/threadedcomments" xmlns:x="http://schemas.openxmlformats.org/spreadsheetml/2006/main"/>
</file>

<file path=xl/persons/person40.xml><?xml version="1.0" encoding="utf-8"?>
<personList xmlns="http://schemas.microsoft.com/office/spreadsheetml/2018/threadedcomments" xmlns:x="http://schemas.openxmlformats.org/spreadsheetml/2006/main"/>
</file>

<file path=xl/persons/person41.xml><?xml version="1.0" encoding="utf-8"?>
<personList xmlns="http://schemas.microsoft.com/office/spreadsheetml/2018/threadedcomments" xmlns:x="http://schemas.openxmlformats.org/spreadsheetml/2006/main"/>
</file>

<file path=xl/persons/person42.xml><?xml version="1.0" encoding="utf-8"?>
<personList xmlns="http://schemas.microsoft.com/office/spreadsheetml/2018/threadedcomments" xmlns:x="http://schemas.openxmlformats.org/spreadsheetml/2006/main"/>
</file>

<file path=xl/persons/person43.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35FF1-8DBB-4C76-8991-F8D5FD20667A}">
  <dimension ref="A1:AH137"/>
  <sheetViews>
    <sheetView zoomScaleNormal="100" zoomScalePageLayoutView="70" workbookViewId="0">
      <selection activeCell="M24" sqref="M24:W45"/>
    </sheetView>
  </sheetViews>
  <sheetFormatPr baseColWidth="10" defaultRowHeight="14.25" x14ac:dyDescent="0.2"/>
  <cols>
    <col min="1" max="1" width="16.7109375" style="1" customWidth="1"/>
    <col min="2" max="5" width="7.7109375" style="1" customWidth="1"/>
    <col min="6" max="6" width="8.140625" style="1" customWidth="1"/>
    <col min="7" max="7" width="7" style="1" customWidth="1"/>
    <col min="8" max="8" width="8.140625" style="1" customWidth="1"/>
    <col min="9" max="9" width="6.85546875" style="1" customWidth="1"/>
    <col min="10" max="10" width="10.28515625" style="1" customWidth="1"/>
    <col min="11" max="11" width="11.85546875" style="1" customWidth="1"/>
    <col min="12" max="12" width="11.140625" style="1" customWidth="1"/>
    <col min="13" max="13" width="9.140625" style="1" customWidth="1"/>
    <col min="14" max="14" width="5.42578125" style="1" bestFit="1" customWidth="1"/>
    <col min="15" max="15" width="6.7109375" style="1" bestFit="1" customWidth="1"/>
    <col min="16" max="16" width="6.42578125" style="1" bestFit="1" customWidth="1"/>
    <col min="17" max="17" width="4.42578125" style="1" bestFit="1" customWidth="1"/>
    <col min="18" max="18" width="19.5703125" style="1" bestFit="1" customWidth="1"/>
    <col min="19" max="22" width="6.7109375" style="1" bestFit="1" customWidth="1"/>
    <col min="23" max="23" width="10.28515625" style="1" bestFit="1" customWidth="1"/>
    <col min="24" max="24" width="10.85546875" style="1" customWidth="1"/>
    <col min="25" max="25" width="11.42578125" style="1"/>
    <col min="26" max="30" width="17.42578125" style="1" bestFit="1" customWidth="1"/>
    <col min="31" max="16384" width="11.42578125" style="1"/>
  </cols>
  <sheetData>
    <row r="1" spans="1:34" ht="15" customHeight="1" thickBot="1" x14ac:dyDescent="0.25">
      <c r="M1" s="443" t="s">
        <v>199</v>
      </c>
      <c r="N1" s="443"/>
      <c r="O1" s="109"/>
      <c r="P1" s="109"/>
      <c r="Q1" s="109"/>
      <c r="R1" s="109"/>
      <c r="S1" s="110"/>
      <c r="T1" s="111"/>
      <c r="U1" s="111"/>
      <c r="V1" s="111"/>
      <c r="W1" s="117"/>
    </row>
    <row r="2" spans="1:34" ht="15" customHeight="1" x14ac:dyDescent="0.2">
      <c r="J2" s="444" t="s">
        <v>379</v>
      </c>
      <c r="K2" s="444"/>
      <c r="L2" s="72"/>
      <c r="M2" s="443"/>
      <c r="N2" s="443"/>
      <c r="O2" s="445" t="s">
        <v>250</v>
      </c>
      <c r="P2" s="446"/>
      <c r="Q2" s="447"/>
      <c r="R2" s="889">
        <f>(AH22)</f>
        <v>0</v>
      </c>
      <c r="S2" s="890"/>
      <c r="T2" s="891"/>
      <c r="X2" s="72"/>
    </row>
    <row r="3" spans="1:34" ht="15" customHeight="1" thickBot="1" x14ac:dyDescent="0.25">
      <c r="D3" s="452" t="s">
        <v>25</v>
      </c>
      <c r="E3" s="452"/>
      <c r="F3" s="452"/>
      <c r="G3" s="452"/>
      <c r="J3" s="135"/>
      <c r="K3" s="135"/>
      <c r="O3" s="448"/>
      <c r="P3" s="449"/>
      <c r="Q3" s="450"/>
      <c r="R3" s="892"/>
      <c r="S3" s="893"/>
      <c r="T3" s="894"/>
    </row>
    <row r="4" spans="1:34" ht="15" customHeight="1" x14ac:dyDescent="0.25">
      <c r="C4" s="103"/>
      <c r="D4" s="452"/>
      <c r="E4" s="452"/>
      <c r="F4" s="452"/>
      <c r="G4" s="452"/>
      <c r="H4" s="103"/>
      <c r="I4" s="103"/>
      <c r="J4" s="453" t="s">
        <v>0</v>
      </c>
      <c r="K4" s="453"/>
      <c r="L4" s="22"/>
      <c r="Q4" s="66"/>
      <c r="X4" s="22"/>
    </row>
    <row r="5" spans="1:34" ht="15" customHeight="1" x14ac:dyDescent="0.2">
      <c r="B5" s="103"/>
      <c r="C5" s="103"/>
      <c r="D5" s="452"/>
      <c r="E5" s="452"/>
      <c r="F5" s="452"/>
      <c r="G5" s="452"/>
      <c r="H5" s="103"/>
      <c r="I5" s="103"/>
      <c r="J5" s="454" t="s">
        <v>367</v>
      </c>
      <c r="K5" s="454"/>
      <c r="L5" s="66"/>
      <c r="M5" s="455" t="s">
        <v>38</v>
      </c>
      <c r="N5" s="455"/>
      <c r="O5" s="455"/>
      <c r="P5" s="455"/>
      <c r="Q5" s="455"/>
      <c r="R5" s="455"/>
      <c r="S5" s="455"/>
      <c r="T5" s="455"/>
      <c r="U5" s="455"/>
      <c r="V5" s="455"/>
      <c r="W5" s="455"/>
      <c r="X5" s="66"/>
    </row>
    <row r="6" spans="1:34" ht="15" customHeight="1" x14ac:dyDescent="0.2">
      <c r="C6" s="467" t="s">
        <v>128</v>
      </c>
      <c r="D6" s="467"/>
      <c r="E6" s="467"/>
      <c r="F6" s="467"/>
      <c r="G6" s="467"/>
      <c r="H6" s="467"/>
      <c r="I6" s="104"/>
      <c r="J6" s="468" t="s">
        <v>31</v>
      </c>
      <c r="K6" s="468"/>
      <c r="L6" s="73"/>
      <c r="M6" s="455" t="s">
        <v>39</v>
      </c>
      <c r="N6" s="455"/>
      <c r="O6" s="455"/>
      <c r="P6" s="455"/>
      <c r="Q6" s="455"/>
      <c r="R6" s="455"/>
      <c r="S6" s="455"/>
      <c r="T6" s="455"/>
      <c r="U6" s="455"/>
      <c r="V6" s="455"/>
      <c r="W6" s="455"/>
      <c r="X6" s="73"/>
    </row>
    <row r="7" spans="1:34" ht="15" customHeight="1" x14ac:dyDescent="0.2">
      <c r="J7" s="469">
        <f>(F12+R2)/2</f>
        <v>-7.5</v>
      </c>
      <c r="K7" s="469"/>
      <c r="L7" s="23"/>
      <c r="M7" s="455" t="s">
        <v>28</v>
      </c>
      <c r="N7" s="455"/>
      <c r="O7" s="455"/>
      <c r="P7" s="455"/>
      <c r="Q7" s="455"/>
      <c r="R7" s="455"/>
      <c r="S7" s="455"/>
      <c r="T7" s="455"/>
      <c r="U7" s="455"/>
      <c r="V7" s="455"/>
      <c r="W7" s="455"/>
      <c r="X7" s="23"/>
    </row>
    <row r="8" spans="1:34" ht="15" customHeight="1" x14ac:dyDescent="0.2">
      <c r="C8" s="458" t="s">
        <v>30</v>
      </c>
      <c r="D8" s="458"/>
      <c r="E8" s="458"/>
      <c r="F8" s="458"/>
      <c r="G8" s="458"/>
      <c r="H8" s="458"/>
      <c r="I8" s="88"/>
      <c r="J8" s="469"/>
      <c r="K8" s="469"/>
      <c r="L8" s="24"/>
      <c r="M8" s="455" t="s">
        <v>29</v>
      </c>
      <c r="N8" s="455"/>
      <c r="O8" s="455"/>
      <c r="P8" s="455"/>
      <c r="Q8" s="455"/>
      <c r="R8" s="455"/>
      <c r="S8" s="455"/>
      <c r="T8" s="455"/>
      <c r="U8" s="455"/>
      <c r="V8" s="455"/>
      <c r="W8" s="455"/>
      <c r="X8" s="24"/>
    </row>
    <row r="9" spans="1:34" ht="15" customHeight="1" x14ac:dyDescent="0.2">
      <c r="C9" s="458"/>
      <c r="D9" s="458"/>
      <c r="E9" s="458"/>
      <c r="F9" s="458"/>
      <c r="G9" s="458"/>
      <c r="H9" s="458"/>
      <c r="I9" s="88"/>
      <c r="J9" s="470" t="s">
        <v>108</v>
      </c>
      <c r="K9" s="470"/>
      <c r="M9" s="75"/>
      <c r="N9" s="75"/>
      <c r="O9" s="75"/>
      <c r="P9" s="75"/>
      <c r="Q9" s="75"/>
      <c r="R9" s="75"/>
      <c r="S9" s="75"/>
      <c r="T9" s="75"/>
      <c r="U9" s="75"/>
      <c r="V9" s="75"/>
      <c r="W9" s="81"/>
    </row>
    <row r="10" spans="1:34" ht="15" customHeight="1" x14ac:dyDescent="0.25">
      <c r="H10" s="2"/>
      <c r="I10" s="2"/>
      <c r="J10" s="456">
        <v>-20</v>
      </c>
      <c r="K10" s="457"/>
      <c r="AA10" s="88"/>
      <c r="AB10" s="458" t="s">
        <v>5</v>
      </c>
      <c r="AC10" s="458"/>
      <c r="AD10" s="458"/>
      <c r="AE10" s="458"/>
      <c r="AF10" s="458"/>
      <c r="AG10" s="88"/>
    </row>
    <row r="11" spans="1:34" ht="15" customHeight="1" thickBot="1" x14ac:dyDescent="0.3">
      <c r="A11" s="459" t="s">
        <v>198</v>
      </c>
      <c r="B11" s="459"/>
      <c r="C11" s="112"/>
      <c r="D11" s="112"/>
      <c r="E11" s="112"/>
      <c r="F11" s="112"/>
      <c r="G11" s="112"/>
      <c r="H11" s="113"/>
      <c r="I11" s="113"/>
      <c r="J11" s="114" t="s">
        <v>134</v>
      </c>
      <c r="K11" s="114"/>
      <c r="AB11" s="458"/>
      <c r="AC11" s="458"/>
      <c r="AD11" s="458"/>
      <c r="AE11" s="458"/>
      <c r="AF11" s="458"/>
    </row>
    <row r="12" spans="1:34" ht="15" customHeight="1" x14ac:dyDescent="0.25">
      <c r="A12" s="459"/>
      <c r="B12" s="459"/>
      <c r="C12" s="460" t="s">
        <v>248</v>
      </c>
      <c r="D12" s="460"/>
      <c r="E12" s="460"/>
      <c r="F12" s="451">
        <f>100-115</f>
        <v>-15</v>
      </c>
      <c r="G12" s="461"/>
      <c r="H12" s="462"/>
      <c r="I12" s="66"/>
      <c r="J12" s="66"/>
      <c r="Z12" s="184"/>
      <c r="AA12" s="184"/>
      <c r="AB12" s="184"/>
      <c r="AC12" s="185"/>
      <c r="AD12" s="185"/>
    </row>
    <row r="13" spans="1:34" ht="15" customHeight="1" thickBot="1" x14ac:dyDescent="0.25">
      <c r="C13" s="460"/>
      <c r="D13" s="460"/>
      <c r="E13" s="460"/>
      <c r="F13" s="463"/>
      <c r="G13" s="463"/>
      <c r="H13" s="464"/>
      <c r="I13" s="66"/>
      <c r="J13" s="66"/>
      <c r="L13" s="81"/>
      <c r="W13" s="182"/>
      <c r="X13" s="81"/>
      <c r="Y13" s="133" t="s">
        <v>11</v>
      </c>
      <c r="Z13" s="12" t="s">
        <v>6</v>
      </c>
      <c r="AA13" s="12" t="s">
        <v>7</v>
      </c>
      <c r="AB13" s="12" t="s">
        <v>8</v>
      </c>
      <c r="AC13" s="12" t="s">
        <v>9</v>
      </c>
      <c r="AD13" s="12" t="s">
        <v>10</v>
      </c>
      <c r="AE13" s="134" t="s">
        <v>204</v>
      </c>
      <c r="AF13" s="134" t="s">
        <v>123</v>
      </c>
      <c r="AG13" s="134" t="s">
        <v>69</v>
      </c>
      <c r="AH13" s="134" t="s">
        <v>177</v>
      </c>
    </row>
    <row r="14" spans="1:34" x14ac:dyDescent="0.2">
      <c r="W14" s="66"/>
      <c r="X14" s="81"/>
      <c r="Y14" s="6" t="s">
        <v>313</v>
      </c>
      <c r="Z14" s="167" t="s">
        <v>144</v>
      </c>
      <c r="AA14" s="167" t="s">
        <v>144</v>
      </c>
      <c r="AB14" s="167" t="s">
        <v>144</v>
      </c>
      <c r="AC14" s="167" t="s">
        <v>144</v>
      </c>
      <c r="AD14" s="167" t="s">
        <v>144</v>
      </c>
      <c r="AE14" s="155" t="e">
        <f t="shared" ref="AE14:AE21" si="0">AVERAGE(Z14:AD14)</f>
        <v>#DIV/0!</v>
      </c>
      <c r="AF14" s="156" t="e">
        <f t="shared" ref="AF14:AF19" si="1">IF(AE14&gt;AG14,AE14-AG14,AG14-AE14)</f>
        <v>#DIV/0!</v>
      </c>
      <c r="AG14" s="156">
        <v>4.1666666666666664E-2</v>
      </c>
      <c r="AH14" s="61" t="s">
        <v>144</v>
      </c>
    </row>
    <row r="15" spans="1:34" ht="15" thickBot="1" x14ac:dyDescent="0.25">
      <c r="A15" s="59" t="s">
        <v>1</v>
      </c>
      <c r="B15" s="83" t="s">
        <v>3</v>
      </c>
      <c r="C15" s="83" t="s">
        <v>4</v>
      </c>
      <c r="D15" s="83" t="s">
        <v>12</v>
      </c>
      <c r="E15" s="83" t="s">
        <v>131</v>
      </c>
      <c r="F15" s="465" t="s">
        <v>59</v>
      </c>
      <c r="G15" s="466"/>
      <c r="N15" s="81"/>
      <c r="W15" s="66"/>
      <c r="X15" s="81"/>
      <c r="Y15" s="6" t="s">
        <v>213</v>
      </c>
      <c r="Z15" s="167" t="s">
        <v>144</v>
      </c>
      <c r="AA15" s="168" t="s">
        <v>144</v>
      </c>
      <c r="AB15" s="168" t="s">
        <v>144</v>
      </c>
      <c r="AC15" s="168" t="s">
        <v>144</v>
      </c>
      <c r="AD15" s="168" t="s">
        <v>144</v>
      </c>
      <c r="AE15" s="155" t="e">
        <f t="shared" si="0"/>
        <v>#DIV/0!</v>
      </c>
      <c r="AF15" s="156" t="e">
        <f t="shared" si="1"/>
        <v>#DIV/0!</v>
      </c>
      <c r="AG15" s="156">
        <v>8.3333333333333329E-2</v>
      </c>
      <c r="AH15" s="61" t="s">
        <v>144</v>
      </c>
    </row>
    <row r="16" spans="1:34" ht="14.25" customHeight="1" x14ac:dyDescent="0.2">
      <c r="A16" s="475" t="s">
        <v>63</v>
      </c>
      <c r="B16" s="477">
        <f>100-O65</f>
        <v>100</v>
      </c>
      <c r="C16" s="477">
        <f>100-O64</f>
        <v>100</v>
      </c>
      <c r="D16" s="479"/>
      <c r="E16" s="482">
        <f>SUM(B16:D17)-100</f>
        <v>100</v>
      </c>
      <c r="F16" s="473"/>
      <c r="G16" s="474"/>
      <c r="J16" s="126"/>
      <c r="K16" s="126" t="s">
        <v>134</v>
      </c>
      <c r="L16" s="194"/>
      <c r="M16" s="194"/>
      <c r="N16" s="81"/>
      <c r="W16" s="66"/>
      <c r="X16" s="81"/>
      <c r="Y16" s="6" t="s">
        <v>214</v>
      </c>
      <c r="Z16" s="167" t="s">
        <v>144</v>
      </c>
      <c r="AA16" s="168" t="s">
        <v>144</v>
      </c>
      <c r="AB16" s="169" t="s">
        <v>144</v>
      </c>
      <c r="AC16" s="168" t="s">
        <v>144</v>
      </c>
      <c r="AD16" s="168" t="s">
        <v>144</v>
      </c>
      <c r="AE16" s="155" t="e">
        <f t="shared" si="0"/>
        <v>#DIV/0!</v>
      </c>
      <c r="AF16" s="156" t="e">
        <f t="shared" si="1"/>
        <v>#DIV/0!</v>
      </c>
      <c r="AG16" s="156">
        <v>0.1875</v>
      </c>
      <c r="AH16" s="61" t="s">
        <v>144</v>
      </c>
    </row>
    <row r="17" spans="1:34" ht="15" customHeight="1" thickBot="1" x14ac:dyDescent="0.25">
      <c r="A17" s="476"/>
      <c r="B17" s="478"/>
      <c r="C17" s="478"/>
      <c r="D17" s="480"/>
      <c r="E17" s="483"/>
      <c r="F17" s="471"/>
      <c r="G17" s="472"/>
      <c r="J17" s="126"/>
      <c r="K17" s="126"/>
      <c r="L17" s="81"/>
      <c r="W17" s="66"/>
      <c r="X17" s="81"/>
      <c r="Y17" s="7" t="s">
        <v>215</v>
      </c>
      <c r="Z17" s="170" t="s">
        <v>144</v>
      </c>
      <c r="AA17" s="166" t="s">
        <v>144</v>
      </c>
      <c r="AB17" s="170" t="s">
        <v>144</v>
      </c>
      <c r="AC17" s="170" t="s">
        <v>144</v>
      </c>
      <c r="AD17" s="170" t="s">
        <v>144</v>
      </c>
      <c r="AE17" s="155" t="e">
        <f t="shared" si="0"/>
        <v>#DIV/0!</v>
      </c>
      <c r="AF17" s="156" t="e">
        <f t="shared" si="1"/>
        <v>#DIV/0!</v>
      </c>
      <c r="AG17" s="156">
        <v>0.22916666666666666</v>
      </c>
      <c r="AH17" s="61" t="s">
        <v>144</v>
      </c>
    </row>
    <row r="18" spans="1:34" ht="14.25" customHeight="1" x14ac:dyDescent="0.2">
      <c r="A18" s="475" t="s">
        <v>53</v>
      </c>
      <c r="B18" s="477">
        <f>100-O69</f>
        <v>50</v>
      </c>
      <c r="C18" s="477">
        <f>100-O68</f>
        <v>50</v>
      </c>
      <c r="D18" s="479">
        <f>100-O70</f>
        <v>90</v>
      </c>
      <c r="E18" s="895">
        <f>SUM(B18:D19)-200</f>
        <v>-10</v>
      </c>
      <c r="F18" s="471" t="s">
        <v>383</v>
      </c>
      <c r="G18" s="472"/>
      <c r="J18" s="126"/>
      <c r="K18" s="126"/>
      <c r="W18" s="66"/>
      <c r="Y18" s="7" t="s">
        <v>308</v>
      </c>
      <c r="Z18" s="166" t="s">
        <v>144</v>
      </c>
      <c r="AA18" s="166" t="s">
        <v>144</v>
      </c>
      <c r="AB18" s="170" t="s">
        <v>144</v>
      </c>
      <c r="AC18" s="170" t="s">
        <v>144</v>
      </c>
      <c r="AD18" s="170" t="s">
        <v>144</v>
      </c>
      <c r="AE18" s="155" t="e">
        <f t="shared" si="0"/>
        <v>#DIV/0!</v>
      </c>
      <c r="AF18" s="156" t="e">
        <f t="shared" si="1"/>
        <v>#DIV/0!</v>
      </c>
      <c r="AG18" s="156">
        <v>0.29166666666666669</v>
      </c>
      <c r="AH18" s="61" t="s">
        <v>144</v>
      </c>
    </row>
    <row r="19" spans="1:34" ht="15" customHeight="1" thickBot="1" x14ac:dyDescent="0.25">
      <c r="A19" s="476"/>
      <c r="B19" s="478"/>
      <c r="C19" s="478"/>
      <c r="D19" s="480"/>
      <c r="E19" s="896"/>
      <c r="F19" s="471" t="s">
        <v>381</v>
      </c>
      <c r="G19" s="472"/>
      <c r="J19" s="126"/>
      <c r="K19" s="126"/>
      <c r="L19" s="66"/>
      <c r="W19" s="66"/>
      <c r="X19" s="66"/>
      <c r="Y19" s="9" t="s">
        <v>37</v>
      </c>
      <c r="Z19" s="174" t="s">
        <v>144</v>
      </c>
      <c r="AA19" s="174" t="s">
        <v>144</v>
      </c>
      <c r="AB19" s="174" t="s">
        <v>144</v>
      </c>
      <c r="AC19" s="174" t="s">
        <v>144</v>
      </c>
      <c r="AD19" s="174" t="s">
        <v>144</v>
      </c>
      <c r="AE19" s="155" t="e">
        <f t="shared" si="0"/>
        <v>#DIV/0!</v>
      </c>
      <c r="AF19" s="156" t="e">
        <f t="shared" si="1"/>
        <v>#DIV/0!</v>
      </c>
      <c r="AG19" s="156">
        <v>8.3333333333333329E-2</v>
      </c>
      <c r="AH19" s="61" t="s">
        <v>144</v>
      </c>
    </row>
    <row r="20" spans="1:34" ht="15" customHeight="1" x14ac:dyDescent="0.2">
      <c r="A20" s="475" t="s">
        <v>60</v>
      </c>
      <c r="B20" s="477">
        <f>100-O73</f>
        <v>60</v>
      </c>
      <c r="C20" s="477">
        <f>100-O72</f>
        <v>70</v>
      </c>
      <c r="D20" s="479">
        <f>100-O74</f>
        <v>100</v>
      </c>
      <c r="E20" s="486">
        <f>SUM(B20:D21)-200</f>
        <v>30</v>
      </c>
      <c r="F20" s="471" t="s">
        <v>382</v>
      </c>
      <c r="G20" s="472"/>
      <c r="J20" s="195"/>
      <c r="K20" s="195"/>
      <c r="L20" s="66"/>
      <c r="W20" s="66"/>
      <c r="X20" s="66"/>
      <c r="Y20" s="10" t="s">
        <v>17</v>
      </c>
      <c r="Z20" s="36" t="s">
        <v>144</v>
      </c>
      <c r="AA20" s="37" t="s">
        <v>144</v>
      </c>
      <c r="AB20" s="37" t="s">
        <v>144</v>
      </c>
      <c r="AC20" s="37" t="s">
        <v>144</v>
      </c>
      <c r="AD20" s="37" t="s">
        <v>144</v>
      </c>
      <c r="AE20" s="38" t="e">
        <f t="shared" si="0"/>
        <v>#DIV/0!</v>
      </c>
      <c r="AF20" s="156"/>
      <c r="AG20" s="38"/>
      <c r="AH20" s="183"/>
    </row>
    <row r="21" spans="1:34" ht="15" customHeight="1" thickBot="1" x14ac:dyDescent="0.25">
      <c r="A21" s="476"/>
      <c r="B21" s="478"/>
      <c r="C21" s="478"/>
      <c r="D21" s="480"/>
      <c r="E21" s="481"/>
      <c r="F21" s="471" t="s">
        <v>360</v>
      </c>
      <c r="G21" s="472"/>
      <c r="J21" s="126"/>
      <c r="K21" s="126"/>
      <c r="W21" s="66"/>
      <c r="Y21" s="10" t="s">
        <v>216</v>
      </c>
      <c r="Z21" s="173" t="s">
        <v>144</v>
      </c>
      <c r="AA21" s="173" t="s">
        <v>144</v>
      </c>
      <c r="AB21" s="171" t="s">
        <v>144</v>
      </c>
      <c r="AC21" s="172" t="s">
        <v>144</v>
      </c>
      <c r="AD21" s="172" t="s">
        <v>144</v>
      </c>
      <c r="AE21" s="159" t="e">
        <f t="shared" si="0"/>
        <v>#DIV/0!</v>
      </c>
      <c r="AF21" s="159"/>
      <c r="AG21" s="157">
        <v>3.4722222222222224E-2</v>
      </c>
      <c r="AH21" s="181"/>
    </row>
    <row r="22" spans="1:34" ht="15" customHeight="1" thickBot="1" x14ac:dyDescent="0.25">
      <c r="A22" s="484" t="s">
        <v>66</v>
      </c>
      <c r="B22" s="477">
        <f>100-O77</f>
        <v>90</v>
      </c>
      <c r="C22" s="477">
        <f>100-O76</f>
        <v>100</v>
      </c>
      <c r="D22" s="479">
        <f>100-O78</f>
        <v>90</v>
      </c>
      <c r="E22" s="486">
        <f>SUM(B22:D23)-200</f>
        <v>80</v>
      </c>
      <c r="F22" s="471" t="s">
        <v>361</v>
      </c>
      <c r="G22" s="472"/>
      <c r="J22" s="126"/>
      <c r="K22" s="126"/>
      <c r="L22" s="21"/>
      <c r="W22" s="165"/>
      <c r="X22" s="21"/>
      <c r="AG22" s="54" t="s">
        <v>131</v>
      </c>
      <c r="AH22" s="102">
        <f>(W73)</f>
        <v>0</v>
      </c>
    </row>
    <row r="23" spans="1:34" ht="15" customHeight="1" thickBot="1" x14ac:dyDescent="0.25">
      <c r="A23" s="484"/>
      <c r="B23" s="485"/>
      <c r="C23" s="485"/>
      <c r="D23" s="487"/>
      <c r="E23" s="481"/>
      <c r="F23" s="471"/>
      <c r="G23" s="472"/>
      <c r="J23" s="126"/>
      <c r="K23" s="126"/>
      <c r="L23" s="21"/>
      <c r="W23" s="72"/>
      <c r="X23" s="21"/>
    </row>
    <row r="24" spans="1:34" ht="15" customHeight="1" thickBot="1" x14ac:dyDescent="0.25">
      <c r="A24" s="484" t="s">
        <v>269</v>
      </c>
      <c r="B24" s="477">
        <f>100-O81</f>
        <v>80</v>
      </c>
      <c r="C24" s="477">
        <f>100-O80</f>
        <v>90</v>
      </c>
      <c r="D24" s="477">
        <f>100-O82</f>
        <v>90</v>
      </c>
      <c r="E24" s="486">
        <f>SUM(B24:D25)-200</f>
        <v>60</v>
      </c>
      <c r="F24" s="471" t="s">
        <v>362</v>
      </c>
      <c r="G24" s="472"/>
      <c r="J24" s="126"/>
      <c r="K24" s="126"/>
      <c r="L24" s="21"/>
      <c r="M24" s="492" t="s">
        <v>211</v>
      </c>
      <c r="N24" s="492"/>
      <c r="O24" s="493"/>
      <c r="P24" s="493"/>
      <c r="Q24" s="493"/>
      <c r="R24" s="493"/>
      <c r="S24" s="493"/>
      <c r="T24" s="493"/>
      <c r="U24" s="493"/>
      <c r="V24" s="493"/>
      <c r="W24" s="493"/>
      <c r="X24" s="21"/>
    </row>
    <row r="25" spans="1:34" ht="15" customHeight="1" thickBot="1" x14ac:dyDescent="0.25">
      <c r="A25" s="484"/>
      <c r="B25" s="485"/>
      <c r="C25" s="485"/>
      <c r="D25" s="485"/>
      <c r="E25" s="481"/>
      <c r="F25" s="471" t="s">
        <v>384</v>
      </c>
      <c r="G25" s="472"/>
      <c r="J25" s="126"/>
      <c r="K25" s="126"/>
      <c r="L25" s="21"/>
      <c r="M25" s="492"/>
      <c r="N25" s="492"/>
      <c r="O25" s="494" t="s">
        <v>251</v>
      </c>
      <c r="P25" s="495"/>
      <c r="Q25" s="496"/>
      <c r="R25" s="500" t="s">
        <v>144</v>
      </c>
      <c r="S25" s="501"/>
      <c r="T25" s="502"/>
      <c r="X25" s="21"/>
    </row>
    <row r="26" spans="1:34" ht="15" customHeight="1" thickBot="1" x14ac:dyDescent="0.25">
      <c r="A26" s="484" t="s">
        <v>270</v>
      </c>
      <c r="B26" s="477">
        <f>100-O85</f>
        <v>90</v>
      </c>
      <c r="C26" s="488">
        <f>100-O84</f>
        <v>80</v>
      </c>
      <c r="D26" s="477">
        <f>100-O86</f>
        <v>100</v>
      </c>
      <c r="E26" s="486">
        <f>SUM(B26:D27)-200</f>
        <v>70</v>
      </c>
      <c r="F26" s="471" t="s">
        <v>363</v>
      </c>
      <c r="G26" s="472"/>
      <c r="J26" s="126"/>
      <c r="K26" s="126"/>
      <c r="L26" s="21"/>
      <c r="O26" s="497"/>
      <c r="P26" s="498"/>
      <c r="Q26" s="499"/>
      <c r="R26" s="503"/>
      <c r="S26" s="504"/>
      <c r="T26" s="505"/>
      <c r="X26" s="21"/>
    </row>
    <row r="27" spans="1:34" ht="24.75" customHeight="1" thickBot="1" x14ac:dyDescent="0.25">
      <c r="A27" s="484"/>
      <c r="B27" s="485"/>
      <c r="C27" s="489"/>
      <c r="D27" s="485"/>
      <c r="E27" s="481"/>
      <c r="F27" s="471" t="s">
        <v>385</v>
      </c>
      <c r="G27" s="472"/>
      <c r="J27" s="126"/>
      <c r="K27" s="126"/>
      <c r="L27" s="74"/>
      <c r="M27" s="74"/>
      <c r="N27" s="74"/>
      <c r="O27" s="74"/>
      <c r="P27" s="74"/>
      <c r="Q27" s="74"/>
      <c r="R27" s="74"/>
      <c r="S27" s="74"/>
      <c r="T27" s="74"/>
      <c r="U27" s="74"/>
      <c r="V27" s="74"/>
      <c r="W27" s="74"/>
      <c r="X27" s="74"/>
    </row>
    <row r="28" spans="1:34" ht="15" customHeight="1" x14ac:dyDescent="0.2">
      <c r="A28" s="475" t="s">
        <v>61</v>
      </c>
      <c r="B28" s="477">
        <f>100-O89</f>
        <v>100</v>
      </c>
      <c r="C28" s="477">
        <f>100-O88</f>
        <v>80</v>
      </c>
      <c r="D28" s="479">
        <f>100-O90</f>
        <v>80</v>
      </c>
      <c r="E28" s="482">
        <f>SUM(B28:D29)-200</f>
        <v>60</v>
      </c>
      <c r="F28" s="471" t="s">
        <v>386</v>
      </c>
      <c r="G28" s="472"/>
      <c r="J28" s="126"/>
      <c r="K28" s="126"/>
      <c r="L28" s="81"/>
      <c r="M28" s="506" t="s">
        <v>212</v>
      </c>
      <c r="N28" s="506"/>
      <c r="O28" s="507"/>
      <c r="P28" s="507"/>
      <c r="Q28" s="507"/>
      <c r="R28" s="507"/>
      <c r="S28" s="507"/>
      <c r="T28" s="507"/>
      <c r="U28" s="507"/>
      <c r="V28" s="507"/>
      <c r="W28" s="507"/>
      <c r="X28" s="81"/>
    </row>
    <row r="29" spans="1:34" ht="15" customHeight="1" thickBot="1" x14ac:dyDescent="0.25">
      <c r="A29" s="476"/>
      <c r="B29" s="478"/>
      <c r="C29" s="478"/>
      <c r="D29" s="480"/>
      <c r="E29" s="483"/>
      <c r="F29" s="471" t="s">
        <v>387</v>
      </c>
      <c r="G29" s="472"/>
      <c r="J29" s="126"/>
      <c r="K29" s="126"/>
      <c r="L29" s="25"/>
      <c r="M29" s="506"/>
      <c r="N29" s="506"/>
      <c r="X29" s="25"/>
    </row>
    <row r="30" spans="1:34" ht="15" customHeight="1" x14ac:dyDescent="0.2">
      <c r="A30" s="475" t="s">
        <v>62</v>
      </c>
      <c r="B30" s="477">
        <f>100-O93</f>
        <v>90</v>
      </c>
      <c r="C30" s="477">
        <f>100-O92</f>
        <v>100</v>
      </c>
      <c r="D30" s="479"/>
      <c r="E30" s="482">
        <f>SUM(B30:D31)-100</f>
        <v>90</v>
      </c>
      <c r="F30" s="471" t="s">
        <v>359</v>
      </c>
      <c r="G30" s="472"/>
      <c r="J30" s="126"/>
      <c r="K30" s="126"/>
      <c r="L30" s="25"/>
      <c r="M30" s="118"/>
      <c r="N30" s="118"/>
      <c r="X30" s="25"/>
    </row>
    <row r="31" spans="1:34" ht="15" customHeight="1" thickBot="1" x14ac:dyDescent="0.25">
      <c r="A31" s="476"/>
      <c r="B31" s="478"/>
      <c r="C31" s="478"/>
      <c r="D31" s="480"/>
      <c r="E31" s="483"/>
      <c r="F31" s="511"/>
      <c r="G31" s="472"/>
      <c r="I31" s="1" t="s">
        <v>134</v>
      </c>
      <c r="J31" s="126"/>
      <c r="K31" s="126"/>
      <c r="L31" s="25"/>
      <c r="N31" s="514" t="s">
        <v>19</v>
      </c>
      <c r="O31" s="515"/>
      <c r="P31" s="516"/>
      <c r="R31" s="508" t="s">
        <v>51</v>
      </c>
      <c r="S31" s="509"/>
      <c r="T31" s="509"/>
      <c r="U31" s="509"/>
      <c r="V31" s="510"/>
      <c r="W31" s="74"/>
      <c r="X31" s="25"/>
    </row>
    <row r="32" spans="1:34" ht="15" customHeight="1" x14ac:dyDescent="0.2">
      <c r="A32" s="475" t="s">
        <v>125</v>
      </c>
      <c r="B32" s="477">
        <f>100-O97</f>
        <v>100</v>
      </c>
      <c r="C32" s="477">
        <f>100-O96</f>
        <v>100</v>
      </c>
      <c r="D32" s="479"/>
      <c r="E32" s="482">
        <f>SUM(B32:D33)-100</f>
        <v>100</v>
      </c>
      <c r="F32" s="511"/>
      <c r="G32" s="472"/>
      <c r="J32" s="126"/>
      <c r="K32" s="126"/>
      <c r="L32" s="25"/>
      <c r="N32" s="105" t="s">
        <v>40</v>
      </c>
      <c r="O32" s="105" t="s">
        <v>73</v>
      </c>
      <c r="P32" s="105" t="s">
        <v>121</v>
      </c>
      <c r="R32" s="512" t="s">
        <v>122</v>
      </c>
      <c r="S32" s="84" t="s">
        <v>52</v>
      </c>
      <c r="T32" s="84" t="s">
        <v>106</v>
      </c>
      <c r="U32" s="84" t="s">
        <v>62</v>
      </c>
      <c r="V32" s="84" t="s">
        <v>65</v>
      </c>
      <c r="W32" s="74"/>
    </row>
    <row r="33" spans="1:23" ht="15" customHeight="1" thickBot="1" x14ac:dyDescent="0.25">
      <c r="A33" s="476"/>
      <c r="B33" s="478"/>
      <c r="C33" s="478"/>
      <c r="D33" s="480"/>
      <c r="E33" s="483"/>
      <c r="F33" s="511"/>
      <c r="G33" s="472"/>
      <c r="J33" s="126"/>
      <c r="K33" s="126"/>
      <c r="L33" s="25"/>
      <c r="N33" s="61">
        <v>10</v>
      </c>
      <c r="O33" s="61">
        <v>10</v>
      </c>
      <c r="P33" s="61" t="s">
        <v>144</v>
      </c>
      <c r="R33" s="513"/>
      <c r="S33" s="116" t="s">
        <v>50</v>
      </c>
      <c r="T33" s="116" t="s">
        <v>50</v>
      </c>
      <c r="U33" s="116" t="s">
        <v>50</v>
      </c>
      <c r="V33" s="116" t="s">
        <v>50</v>
      </c>
      <c r="W33" s="74"/>
    </row>
    <row r="34" spans="1:23" ht="15" customHeight="1" x14ac:dyDescent="0.2">
      <c r="A34" s="475" t="s">
        <v>65</v>
      </c>
      <c r="B34" s="477">
        <f>100-O101</f>
        <v>80</v>
      </c>
      <c r="C34" s="477">
        <f>100-O100</f>
        <v>80</v>
      </c>
      <c r="D34" s="479"/>
      <c r="E34" s="482">
        <f>SUM(B34:D35)-100</f>
        <v>60</v>
      </c>
      <c r="F34" s="526" t="s">
        <v>268</v>
      </c>
      <c r="G34" s="527"/>
      <c r="J34" s="126"/>
      <c r="K34" s="126"/>
      <c r="L34" s="25"/>
      <c r="N34" s="106" t="s">
        <v>257</v>
      </c>
      <c r="O34" s="106" t="s">
        <v>55</v>
      </c>
      <c r="P34" s="106" t="s">
        <v>42</v>
      </c>
      <c r="R34" s="61">
        <v>2</v>
      </c>
      <c r="S34" s="61">
        <v>2</v>
      </c>
      <c r="T34" s="61">
        <v>2</v>
      </c>
      <c r="U34" s="61">
        <v>1</v>
      </c>
      <c r="V34" s="61">
        <v>1</v>
      </c>
      <c r="W34" s="74"/>
    </row>
    <row r="35" spans="1:23" ht="15" customHeight="1" thickBot="1" x14ac:dyDescent="0.25">
      <c r="A35" s="476"/>
      <c r="B35" s="478"/>
      <c r="C35" s="478"/>
      <c r="D35" s="480"/>
      <c r="E35" s="483"/>
      <c r="F35" s="471" t="s">
        <v>364</v>
      </c>
      <c r="G35" s="472"/>
      <c r="J35" s="126"/>
      <c r="K35" s="126"/>
      <c r="L35" s="74"/>
      <c r="N35" s="61">
        <v>10</v>
      </c>
      <c r="O35" s="61">
        <v>10</v>
      </c>
      <c r="P35" s="61">
        <v>10</v>
      </c>
      <c r="S35" s="94"/>
      <c r="W35" s="74"/>
    </row>
    <row r="36" spans="1:23" ht="15" customHeight="1" x14ac:dyDescent="0.2">
      <c r="A36" s="475" t="s">
        <v>249</v>
      </c>
      <c r="B36" s="477">
        <f>100-O105</f>
        <v>100</v>
      </c>
      <c r="C36" s="477">
        <f>100-O104</f>
        <v>100</v>
      </c>
      <c r="D36" s="479"/>
      <c r="E36" s="482">
        <f>SUM(B36:D37)-100</f>
        <v>100</v>
      </c>
      <c r="F36" s="471"/>
      <c r="G36" s="472"/>
      <c r="J36" s="126"/>
      <c r="K36" s="126"/>
      <c r="L36" s="74"/>
      <c r="N36" s="106" t="s">
        <v>43</v>
      </c>
      <c r="O36" s="106" t="s">
        <v>44</v>
      </c>
      <c r="P36" s="106" t="s">
        <v>244</v>
      </c>
      <c r="Q36" s="106" t="s">
        <v>262</v>
      </c>
      <c r="S36" s="94"/>
      <c r="W36" s="74"/>
    </row>
    <row r="37" spans="1:23" ht="15" customHeight="1" thickBot="1" x14ac:dyDescent="0.25">
      <c r="A37" s="476"/>
      <c r="B37" s="478"/>
      <c r="C37" s="478"/>
      <c r="D37" s="480"/>
      <c r="E37" s="483"/>
      <c r="F37" s="490"/>
      <c r="G37" s="491"/>
      <c r="J37" s="126"/>
      <c r="K37" s="126"/>
      <c r="L37" s="25"/>
      <c r="N37" s="61">
        <v>10</v>
      </c>
      <c r="O37" s="61">
        <v>10</v>
      </c>
      <c r="P37" s="61">
        <v>10</v>
      </c>
      <c r="Q37" s="61">
        <v>9</v>
      </c>
      <c r="S37" s="94"/>
      <c r="T37" s="95"/>
    </row>
    <row r="38" spans="1:23" ht="15" customHeight="1" thickBot="1" x14ac:dyDescent="0.25">
      <c r="A38" s="54" t="s">
        <v>82</v>
      </c>
      <c r="B38" s="228">
        <f>AVERAGE(B16:B37)</f>
        <v>85.454545454545453</v>
      </c>
      <c r="C38" s="228">
        <f>AVERAGE(C16:C37)</f>
        <v>86.36363636363636</v>
      </c>
      <c r="D38" s="228">
        <f>AVERAGE(D16:D37)</f>
        <v>91.666666666666671</v>
      </c>
      <c r="E38" s="30"/>
      <c r="F38" s="30"/>
      <c r="G38" s="30"/>
      <c r="H38" s="74"/>
      <c r="I38" s="74"/>
      <c r="L38" s="25"/>
      <c r="N38" s="535" t="s">
        <v>245</v>
      </c>
      <c r="O38" s="536"/>
      <c r="P38" s="537"/>
      <c r="W38" s="31"/>
    </row>
    <row r="39" spans="1:23" ht="15" customHeight="1" x14ac:dyDescent="0.2">
      <c r="A39" s="92"/>
      <c r="B39" s="107"/>
      <c r="C39" s="107"/>
      <c r="D39" s="108"/>
      <c r="E39" s="74"/>
      <c r="F39" s="74"/>
      <c r="G39" s="74"/>
      <c r="H39" s="74"/>
      <c r="I39" s="13"/>
      <c r="L39" s="25"/>
      <c r="N39" s="528">
        <f>AVERAGE(N33,O35,P35,N37,P37,N35,P33,Q37,O33,O37)*10</f>
        <v>98.888888888888886</v>
      </c>
      <c r="O39" s="529"/>
      <c r="P39" s="530"/>
      <c r="W39" s="14"/>
    </row>
    <row r="40" spans="1:23" ht="15" customHeight="1" x14ac:dyDescent="0.2">
      <c r="A40" s="531" t="s">
        <v>18</v>
      </c>
      <c r="B40" s="532"/>
      <c r="C40" s="533"/>
      <c r="E40" s="521" t="s">
        <v>255</v>
      </c>
      <c r="F40" s="522"/>
      <c r="G40" s="523"/>
      <c r="I40" s="164"/>
      <c r="J40" s="164"/>
      <c r="K40" s="164"/>
      <c r="L40" s="81"/>
      <c r="N40" s="534"/>
      <c r="O40" s="534"/>
      <c r="P40" s="534"/>
    </row>
    <row r="41" spans="1:23" ht="15" customHeight="1" x14ac:dyDescent="0.2">
      <c r="A41" s="115" t="s">
        <v>1</v>
      </c>
      <c r="B41" s="115" t="s">
        <v>120</v>
      </c>
      <c r="C41" s="12" t="s">
        <v>117</v>
      </c>
      <c r="E41" s="517">
        <f>5/5</f>
        <v>1</v>
      </c>
      <c r="F41" s="518"/>
      <c r="G41" s="519"/>
      <c r="I41" s="66"/>
      <c r="J41" s="66"/>
      <c r="K41" s="66"/>
      <c r="L41" s="81"/>
      <c r="N41" s="520" t="s">
        <v>380</v>
      </c>
      <c r="O41" s="520"/>
      <c r="P41" s="520"/>
      <c r="Q41" s="520"/>
      <c r="R41" s="520"/>
      <c r="S41" s="520"/>
      <c r="T41" s="520"/>
      <c r="U41" s="520"/>
      <c r="V41" s="520"/>
    </row>
    <row r="42" spans="1:23" ht="15" customHeight="1" x14ac:dyDescent="0.2">
      <c r="A42" s="61" t="s">
        <v>75</v>
      </c>
      <c r="B42" s="28" t="s">
        <v>259</v>
      </c>
      <c r="C42" s="61" t="s">
        <v>144</v>
      </c>
      <c r="I42" s="96"/>
      <c r="J42" s="66"/>
      <c r="K42" s="66"/>
      <c r="N42" s="524" t="s">
        <v>388</v>
      </c>
      <c r="O42" s="524"/>
      <c r="P42" s="524"/>
      <c r="Q42" s="524"/>
      <c r="R42" s="524"/>
      <c r="S42" s="524"/>
      <c r="T42" s="524"/>
      <c r="U42" s="524"/>
      <c r="V42" s="524"/>
    </row>
    <row r="43" spans="1:23" ht="15" customHeight="1" x14ac:dyDescent="0.2">
      <c r="A43" s="61" t="s">
        <v>76</v>
      </c>
      <c r="B43" s="28" t="s">
        <v>260</v>
      </c>
      <c r="C43" s="61">
        <v>67</v>
      </c>
      <c r="E43" s="521" t="s">
        <v>256</v>
      </c>
      <c r="F43" s="522"/>
      <c r="G43" s="523"/>
      <c r="I43" s="96"/>
      <c r="J43" s="66"/>
      <c r="K43" s="66"/>
      <c r="N43" s="520" t="s">
        <v>246</v>
      </c>
      <c r="O43" s="520"/>
      <c r="P43" s="520"/>
      <c r="Q43" s="520"/>
      <c r="R43" s="520"/>
      <c r="S43" s="520"/>
      <c r="T43" s="520"/>
      <c r="U43" s="520"/>
    </row>
    <row r="44" spans="1:23" ht="15" customHeight="1" x14ac:dyDescent="0.2">
      <c r="A44" s="61" t="s">
        <v>230</v>
      </c>
      <c r="B44" s="28" t="s">
        <v>78</v>
      </c>
      <c r="C44" s="897">
        <v>76</v>
      </c>
      <c r="E44" s="517">
        <f>8/8</f>
        <v>1</v>
      </c>
      <c r="F44" s="518"/>
      <c r="G44" s="519"/>
      <c r="I44" s="96"/>
      <c r="J44" s="66"/>
      <c r="K44" s="66"/>
      <c r="N44" s="542" t="s">
        <v>247</v>
      </c>
      <c r="O44" s="542"/>
      <c r="P44" s="542"/>
      <c r="Q44" s="542"/>
      <c r="R44" s="542"/>
      <c r="S44" s="542"/>
      <c r="T44" s="542"/>
      <c r="U44" s="542"/>
      <c r="V44" s="542"/>
    </row>
    <row r="45" spans="1:23" ht="15" customHeight="1" x14ac:dyDescent="0.2">
      <c r="A45" s="61" t="s">
        <v>66</v>
      </c>
      <c r="B45" s="28" t="s">
        <v>323</v>
      </c>
      <c r="C45" s="183">
        <v>80</v>
      </c>
      <c r="I45" s="96"/>
      <c r="J45" s="66"/>
      <c r="K45" s="66"/>
      <c r="N45" s="542"/>
      <c r="O45" s="542"/>
      <c r="P45" s="542"/>
      <c r="Q45" s="542"/>
      <c r="R45" s="542"/>
      <c r="S45" s="542"/>
      <c r="T45" s="542"/>
      <c r="U45" s="542"/>
      <c r="V45" s="542"/>
    </row>
    <row r="46" spans="1:23" ht="15" customHeight="1" x14ac:dyDescent="0.2">
      <c r="A46" s="61" t="s">
        <v>197</v>
      </c>
      <c r="B46" s="28" t="s">
        <v>78</v>
      </c>
      <c r="C46" s="61">
        <v>75</v>
      </c>
      <c r="E46" s="130" t="s">
        <v>252</v>
      </c>
      <c r="F46" s="130" t="s">
        <v>188</v>
      </c>
      <c r="G46" s="130" t="s">
        <v>126</v>
      </c>
      <c r="I46" s="96"/>
      <c r="J46" s="66"/>
      <c r="K46" s="66"/>
    </row>
    <row r="47" spans="1:23" ht="15" customHeight="1" x14ac:dyDescent="0.2">
      <c r="A47" s="61" t="s">
        <v>68</v>
      </c>
      <c r="B47" s="28" t="s">
        <v>136</v>
      </c>
      <c r="C47" s="61">
        <v>56</v>
      </c>
      <c r="E47" s="147" t="s">
        <v>228</v>
      </c>
      <c r="F47" s="147" t="s">
        <v>228</v>
      </c>
      <c r="G47" s="148" t="s">
        <v>336</v>
      </c>
      <c r="H47" s="92"/>
      <c r="I47" s="93"/>
      <c r="K47" s="72"/>
    </row>
    <row r="48" spans="1:23" ht="15" customHeight="1" x14ac:dyDescent="0.2">
      <c r="A48" s="92"/>
      <c r="B48" s="107"/>
      <c r="C48" s="107"/>
      <c r="D48" s="108"/>
      <c r="I48" s="74"/>
      <c r="N48" s="146"/>
      <c r="O48" s="146"/>
      <c r="P48" s="175"/>
      <c r="Q48" s="175"/>
      <c r="R48" s="175"/>
      <c r="S48" s="175"/>
      <c r="T48" s="175"/>
      <c r="U48" s="175"/>
      <c r="V48" s="177"/>
    </row>
    <row r="49" spans="1:24" ht="15" customHeight="1" x14ac:dyDescent="0.2">
      <c r="A49" s="92"/>
      <c r="B49" s="107"/>
      <c r="C49" s="107"/>
      <c r="D49" s="108"/>
      <c r="H49" s="74"/>
      <c r="L49" s="81"/>
      <c r="N49" s="146"/>
      <c r="O49" s="146"/>
      <c r="P49" s="175"/>
      <c r="Q49" s="175"/>
      <c r="R49" s="175"/>
      <c r="S49" s="175"/>
      <c r="T49" s="175"/>
      <c r="U49" s="175"/>
      <c r="V49" s="177"/>
    </row>
    <row r="50" spans="1:24" ht="15" customHeight="1" x14ac:dyDescent="0.2">
      <c r="A50" s="92"/>
      <c r="B50" s="107"/>
      <c r="C50" s="107"/>
      <c r="D50" s="108"/>
      <c r="E50" s="136"/>
      <c r="F50" s="136"/>
      <c r="G50" s="137"/>
      <c r="H50" s="74"/>
      <c r="L50" s="81"/>
      <c r="N50" s="146"/>
      <c r="O50" s="146"/>
      <c r="P50" s="175"/>
      <c r="Q50" s="175"/>
      <c r="R50" s="175"/>
      <c r="S50" s="175"/>
      <c r="T50" s="175"/>
      <c r="U50" s="175"/>
      <c r="V50" s="177"/>
    </row>
    <row r="51" spans="1:24" ht="15" customHeight="1" x14ac:dyDescent="0.2">
      <c r="A51" s="92"/>
      <c r="B51" s="107"/>
      <c r="C51" s="107"/>
      <c r="D51" s="108"/>
      <c r="E51" s="136"/>
      <c r="F51" s="136"/>
      <c r="G51" s="137"/>
      <c r="H51" s="74"/>
      <c r="L51" s="81"/>
      <c r="N51" s="149"/>
      <c r="O51" s="149"/>
      <c r="P51" s="149"/>
      <c r="Q51" s="149"/>
      <c r="R51" s="149"/>
      <c r="S51" s="149"/>
      <c r="T51" s="149"/>
      <c r="U51" s="149"/>
      <c r="V51" s="149"/>
    </row>
    <row r="52" spans="1:24" ht="15" customHeight="1" x14ac:dyDescent="0.2">
      <c r="A52" s="92"/>
      <c r="B52" s="107"/>
      <c r="C52" s="107"/>
      <c r="D52" s="108"/>
      <c r="E52" s="136"/>
      <c r="F52" s="136"/>
      <c r="G52" s="137"/>
      <c r="H52" s="74"/>
      <c r="L52" s="81"/>
      <c r="N52" s="176"/>
      <c r="O52" s="176"/>
      <c r="P52" s="176"/>
      <c r="Q52" s="176"/>
      <c r="R52" s="176"/>
      <c r="S52" s="176"/>
      <c r="T52" s="176"/>
      <c r="U52" s="176"/>
      <c r="V52" s="176"/>
    </row>
    <row r="53" spans="1:24" ht="15" customHeight="1" x14ac:dyDescent="0.2">
      <c r="A53" s="92"/>
      <c r="B53" s="107"/>
      <c r="C53" s="107"/>
      <c r="D53" s="108"/>
      <c r="E53" s="136"/>
      <c r="F53" s="136"/>
      <c r="G53" s="137"/>
      <c r="H53" s="74"/>
      <c r="L53" s="81"/>
      <c r="N53" s="146"/>
      <c r="O53" s="146"/>
      <c r="P53" s="153"/>
      <c r="Q53" s="153"/>
      <c r="R53" s="153"/>
      <c r="S53" s="153"/>
      <c r="T53" s="153"/>
      <c r="U53" s="153"/>
      <c r="V53" s="178"/>
    </row>
    <row r="54" spans="1:24" ht="15" customHeight="1" x14ac:dyDescent="0.2">
      <c r="A54" s="92"/>
      <c r="B54" s="107"/>
      <c r="C54" s="107"/>
      <c r="D54" s="108"/>
      <c r="E54" s="136"/>
      <c r="F54" s="136"/>
      <c r="G54" s="137"/>
      <c r="H54" s="74"/>
      <c r="L54" s="81"/>
      <c r="N54" s="179"/>
      <c r="O54" s="179"/>
      <c r="P54" s="153"/>
      <c r="Q54" s="153"/>
      <c r="R54" s="153"/>
      <c r="S54" s="153"/>
      <c r="T54" s="153"/>
      <c r="U54" s="153"/>
      <c r="V54" s="178"/>
    </row>
    <row r="55" spans="1:24" ht="15" customHeight="1" x14ac:dyDescent="0.2">
      <c r="A55" s="92"/>
      <c r="B55" s="107"/>
      <c r="C55" s="107"/>
      <c r="D55" s="108"/>
      <c r="E55" s="136"/>
      <c r="F55" s="136"/>
      <c r="G55" s="137"/>
      <c r="H55" s="74"/>
      <c r="L55" s="81"/>
      <c r="N55" s="146"/>
      <c r="O55" s="146"/>
      <c r="P55" s="153"/>
      <c r="Q55" s="153"/>
      <c r="R55" s="153"/>
      <c r="S55" s="153"/>
      <c r="T55" s="153"/>
      <c r="U55" s="153"/>
      <c r="V55" s="177"/>
    </row>
    <row r="56" spans="1:24" ht="15" customHeight="1" x14ac:dyDescent="0.2">
      <c r="A56" s="92"/>
      <c r="B56" s="107"/>
      <c r="C56" s="107"/>
      <c r="D56" s="108"/>
      <c r="E56" s="136"/>
      <c r="F56" s="136"/>
      <c r="G56" s="137"/>
      <c r="H56" s="74"/>
      <c r="L56" s="81"/>
      <c r="N56" s="149"/>
      <c r="O56" s="149"/>
      <c r="P56" s="149"/>
      <c r="Q56" s="149"/>
      <c r="R56" s="149"/>
      <c r="S56" s="149"/>
      <c r="T56" s="149"/>
      <c r="U56" s="149"/>
      <c r="V56" s="149"/>
    </row>
    <row r="57" spans="1:24" ht="15" customHeight="1" x14ac:dyDescent="0.2">
      <c r="A57" s="92"/>
      <c r="B57" s="107"/>
      <c r="C57" s="107"/>
      <c r="D57" s="108"/>
      <c r="E57" s="136"/>
      <c r="F57" s="136"/>
      <c r="G57" s="137"/>
      <c r="H57" s="74"/>
      <c r="L57" s="81"/>
      <c r="N57" s="176"/>
      <c r="O57" s="176"/>
      <c r="P57" s="176"/>
      <c r="Q57" s="176"/>
      <c r="R57" s="176"/>
      <c r="S57" s="176"/>
      <c r="T57" s="176"/>
      <c r="U57" s="176"/>
      <c r="V57" s="176"/>
    </row>
    <row r="58" spans="1:24" ht="15" customHeight="1" x14ac:dyDescent="0.2">
      <c r="A58" s="92"/>
      <c r="B58" s="107"/>
      <c r="C58" s="107"/>
      <c r="D58" s="108"/>
      <c r="E58" s="136"/>
      <c r="F58" s="136"/>
      <c r="G58" s="137"/>
      <c r="H58" s="74"/>
      <c r="L58" s="81"/>
      <c r="N58" s="146"/>
      <c r="O58" s="146"/>
      <c r="P58" s="153"/>
      <c r="Q58" s="153"/>
      <c r="R58" s="153"/>
      <c r="S58" s="153"/>
      <c r="T58" s="153"/>
      <c r="U58" s="153"/>
      <c r="V58" s="180"/>
    </row>
    <row r="59" spans="1:24" ht="15" customHeight="1" x14ac:dyDescent="0.2">
      <c r="A59" s="92"/>
      <c r="B59" s="107"/>
      <c r="C59" s="107"/>
      <c r="D59" s="108"/>
      <c r="E59" s="136"/>
      <c r="F59" s="136"/>
      <c r="G59" s="137"/>
      <c r="H59" s="74"/>
      <c r="L59" s="81"/>
      <c r="N59" s="146"/>
      <c r="O59" s="146"/>
      <c r="P59" s="153"/>
      <c r="Q59" s="153"/>
      <c r="R59" s="153"/>
      <c r="S59" s="153"/>
      <c r="T59" s="153"/>
      <c r="U59" s="153"/>
      <c r="V59" s="180"/>
    </row>
    <row r="60" spans="1:24" ht="15" customHeight="1" x14ac:dyDescent="0.2">
      <c r="A60" s="138"/>
      <c r="B60" s="139"/>
      <c r="C60" s="139"/>
      <c r="D60" s="140"/>
      <c r="E60" s="141"/>
      <c r="F60" s="141"/>
      <c r="G60" s="142"/>
      <c r="H60" s="30"/>
      <c r="I60" s="143"/>
      <c r="J60" s="143"/>
      <c r="K60" s="143"/>
      <c r="L60" s="81"/>
      <c r="N60" s="146"/>
      <c r="O60" s="146"/>
      <c r="P60" s="153"/>
      <c r="Q60" s="153"/>
      <c r="R60" s="153"/>
      <c r="S60" s="153"/>
      <c r="T60" s="153"/>
      <c r="U60" s="153"/>
      <c r="V60" s="154"/>
    </row>
    <row r="61" spans="1:24" ht="14.25" customHeight="1" x14ac:dyDescent="0.2">
      <c r="A61" s="525" t="s">
        <v>100</v>
      </c>
      <c r="B61" s="525"/>
      <c r="C61" s="525"/>
      <c r="D61" s="128"/>
      <c r="E61" s="525" t="s">
        <v>92</v>
      </c>
      <c r="F61" s="525"/>
      <c r="G61" s="525"/>
      <c r="H61" s="96"/>
      <c r="I61" s="96"/>
      <c r="J61" s="96"/>
      <c r="K61" s="96"/>
      <c r="L61" s="81"/>
      <c r="N61" s="146"/>
      <c r="O61" s="146"/>
      <c r="P61" s="149"/>
      <c r="Q61" s="149"/>
      <c r="R61" s="149"/>
      <c r="S61" s="149"/>
      <c r="T61" s="149"/>
      <c r="U61" s="149"/>
      <c r="V61" s="150"/>
    </row>
    <row r="62" spans="1:24" ht="14.25" customHeight="1" x14ac:dyDescent="0.2">
      <c r="A62" s="66" t="s">
        <v>46</v>
      </c>
      <c r="B62" s="66" t="s">
        <v>14</v>
      </c>
      <c r="C62" s="66" t="s">
        <v>13</v>
      </c>
      <c r="D62" s="128"/>
      <c r="E62" s="66" t="s">
        <v>46</v>
      </c>
      <c r="F62" s="66" t="s">
        <v>14</v>
      </c>
      <c r="G62" s="66" t="s">
        <v>13</v>
      </c>
      <c r="H62" s="96"/>
      <c r="I62" s="96"/>
      <c r="J62" s="96"/>
      <c r="K62" s="96"/>
      <c r="L62" s="144"/>
      <c r="M62" s="143"/>
      <c r="N62" s="145"/>
      <c r="O62" s="145"/>
      <c r="P62" s="145"/>
      <c r="Q62" s="145"/>
      <c r="R62" s="145"/>
      <c r="S62" s="145"/>
      <c r="T62" s="145"/>
      <c r="U62" s="145"/>
      <c r="V62" s="145"/>
      <c r="W62" s="143"/>
      <c r="X62" s="143"/>
    </row>
    <row r="63" spans="1:24" ht="14.25" customHeight="1" x14ac:dyDescent="0.2">
      <c r="A63" s="66">
        <v>10</v>
      </c>
      <c r="B63" s="66">
        <v>0</v>
      </c>
      <c r="C63" s="66">
        <f>(A63-B63)</f>
        <v>10</v>
      </c>
      <c r="D63" s="128"/>
      <c r="E63" s="66">
        <v>10</v>
      </c>
      <c r="F63" s="66">
        <v>0</v>
      </c>
      <c r="G63" s="66">
        <f>(E63-F63)</f>
        <v>10</v>
      </c>
      <c r="H63" s="96"/>
      <c r="I63" s="96"/>
      <c r="J63" s="96"/>
      <c r="K63" s="96"/>
      <c r="L63" s="96"/>
      <c r="M63" s="525" t="s">
        <v>63</v>
      </c>
      <c r="N63" s="525"/>
      <c r="O63" s="525"/>
      <c r="Q63" s="539" t="s">
        <v>47</v>
      </c>
      <c r="R63" s="540"/>
      <c r="S63" s="541"/>
      <c r="U63" s="539" t="s">
        <v>126</v>
      </c>
      <c r="V63" s="540"/>
      <c r="W63" s="541"/>
    </row>
    <row r="64" spans="1:24" ht="14.25" customHeight="1" x14ac:dyDescent="0.2">
      <c r="A64" s="92"/>
      <c r="B64" s="107"/>
      <c r="C64" s="107"/>
      <c r="D64" s="108"/>
      <c r="E64" s="136"/>
      <c r="F64" s="136"/>
      <c r="G64" s="137"/>
      <c r="H64" s="74"/>
      <c r="L64" s="96"/>
      <c r="M64" s="4" t="s">
        <v>20</v>
      </c>
      <c r="N64" s="40">
        <f>(F63)*10</f>
        <v>0</v>
      </c>
      <c r="O64" s="41">
        <f>(10*N64)/10</f>
        <v>0</v>
      </c>
      <c r="Q64" s="544">
        <v>7</v>
      </c>
      <c r="R64" s="545"/>
      <c r="S64" s="160">
        <f>Q64/8</f>
        <v>0.875</v>
      </c>
      <c r="U64" s="544">
        <v>2</v>
      </c>
      <c r="V64" s="545"/>
      <c r="W64" s="61">
        <f>(25*U64)</f>
        <v>50</v>
      </c>
    </row>
    <row r="65" spans="1:24" s="143" customFormat="1" ht="14.25" customHeight="1" x14ac:dyDescent="0.2">
      <c r="A65" s="525" t="s">
        <v>96</v>
      </c>
      <c r="B65" s="525"/>
      <c r="C65" s="525"/>
      <c r="D65" s="128"/>
      <c r="E65" s="525" t="s">
        <v>88</v>
      </c>
      <c r="F65" s="525"/>
      <c r="G65" s="525"/>
      <c r="H65" s="96"/>
      <c r="I65" s="525" t="s">
        <v>103</v>
      </c>
      <c r="J65" s="525"/>
      <c r="K65" s="525"/>
      <c r="L65" s="96"/>
      <c r="M65" s="4" t="s">
        <v>21</v>
      </c>
      <c r="N65" s="40">
        <f>(B63)*10</f>
        <v>0</v>
      </c>
      <c r="O65" s="41">
        <f>(10*N65)/10</f>
        <v>0</v>
      </c>
      <c r="P65" s="1"/>
      <c r="Q65" s="96"/>
      <c r="R65" s="96"/>
      <c r="S65" s="96"/>
      <c r="T65" s="1"/>
      <c r="U65" s="96"/>
      <c r="V65" s="96"/>
      <c r="W65" s="96"/>
      <c r="X65" s="1"/>
    </row>
    <row r="66" spans="1:24" ht="14.25" customHeight="1" x14ac:dyDescent="0.2">
      <c r="A66" s="66" t="s">
        <v>46</v>
      </c>
      <c r="B66" s="66" t="s">
        <v>14</v>
      </c>
      <c r="C66" s="66" t="s">
        <v>13</v>
      </c>
      <c r="D66" s="128"/>
      <c r="E66" s="66" t="s">
        <v>46</v>
      </c>
      <c r="F66" s="66" t="s">
        <v>14</v>
      </c>
      <c r="G66" s="66" t="s">
        <v>13</v>
      </c>
      <c r="H66" s="96"/>
      <c r="I66" s="66" t="s">
        <v>46</v>
      </c>
      <c r="J66" s="66" t="s">
        <v>14</v>
      </c>
      <c r="K66" s="66" t="s">
        <v>13</v>
      </c>
      <c r="L66" s="81"/>
      <c r="N66" s="50"/>
      <c r="O66" s="50"/>
      <c r="Q66" s="538" t="s">
        <v>18</v>
      </c>
      <c r="R66" s="538"/>
      <c r="S66" s="538"/>
      <c r="U66" s="539" t="s">
        <v>188</v>
      </c>
      <c r="V66" s="540"/>
      <c r="W66" s="541"/>
    </row>
    <row r="67" spans="1:24" ht="14.25" customHeight="1" x14ac:dyDescent="0.2">
      <c r="A67" s="66">
        <v>14</v>
      </c>
      <c r="B67" s="66">
        <v>5</v>
      </c>
      <c r="C67" s="66">
        <f>(A67-B67)</f>
        <v>9</v>
      </c>
      <c r="D67" s="128"/>
      <c r="E67" s="66">
        <v>13</v>
      </c>
      <c r="F67" s="66">
        <v>5</v>
      </c>
      <c r="G67" s="66">
        <f>(E67-F67)</f>
        <v>8</v>
      </c>
      <c r="H67" s="96"/>
      <c r="I67" s="66">
        <v>7</v>
      </c>
      <c r="J67" s="66">
        <v>1</v>
      </c>
      <c r="K67" s="66">
        <f>(I67-J67)</f>
        <v>6</v>
      </c>
      <c r="L67" s="96"/>
      <c r="M67" s="525" t="s">
        <v>53</v>
      </c>
      <c r="N67" s="525"/>
      <c r="O67" s="525"/>
      <c r="Q67" s="484">
        <v>4</v>
      </c>
      <c r="R67" s="484"/>
      <c r="S67" s="160">
        <f>Q67/5</f>
        <v>0.8</v>
      </c>
      <c r="U67" s="544">
        <v>3</v>
      </c>
      <c r="V67" s="545"/>
      <c r="W67" s="61">
        <f>(33.333333333*U67)</f>
        <v>99.999999998999996</v>
      </c>
    </row>
    <row r="68" spans="1:24" ht="14.25" customHeight="1" x14ac:dyDescent="0.2">
      <c r="A68" s="96"/>
      <c r="B68" s="96"/>
      <c r="C68" s="66"/>
      <c r="D68" s="128"/>
      <c r="E68" s="96"/>
      <c r="F68" s="96"/>
      <c r="G68" s="66"/>
      <c r="H68" s="66"/>
      <c r="I68" s="96"/>
      <c r="J68" s="96"/>
      <c r="K68" s="96"/>
      <c r="L68" s="96"/>
      <c r="M68" s="4" t="s">
        <v>20</v>
      </c>
      <c r="N68" s="40">
        <f>(F67)*10</f>
        <v>50</v>
      </c>
      <c r="O68" s="41">
        <f>(10*N68)/10</f>
        <v>50</v>
      </c>
      <c r="Q68" s="96"/>
      <c r="R68" s="96"/>
      <c r="S68" s="96"/>
      <c r="U68" s="96"/>
      <c r="V68" s="96"/>
      <c r="W68" s="96"/>
    </row>
    <row r="69" spans="1:24" ht="14.25" customHeight="1" x14ac:dyDescent="0.2">
      <c r="A69" s="525" t="s">
        <v>93</v>
      </c>
      <c r="B69" s="525"/>
      <c r="C69" s="525"/>
      <c r="D69" s="96"/>
      <c r="E69" s="525" t="s">
        <v>85</v>
      </c>
      <c r="F69" s="525"/>
      <c r="G69" s="525"/>
      <c r="H69" s="66"/>
      <c r="I69" s="525" t="s">
        <v>101</v>
      </c>
      <c r="J69" s="525"/>
      <c r="K69" s="525"/>
      <c r="L69" s="96"/>
      <c r="M69" s="4" t="s">
        <v>21</v>
      </c>
      <c r="N69" s="40">
        <f>(B67)*10</f>
        <v>50</v>
      </c>
      <c r="O69" s="41">
        <f>(10*N69)/10</f>
        <v>50</v>
      </c>
      <c r="Q69" s="538" t="s">
        <v>48</v>
      </c>
      <c r="R69" s="538"/>
      <c r="S69" s="538"/>
      <c r="U69" s="539" t="s">
        <v>189</v>
      </c>
      <c r="V69" s="540"/>
      <c r="W69" s="541"/>
    </row>
    <row r="70" spans="1:24" ht="14.25" customHeight="1" x14ac:dyDescent="0.2">
      <c r="A70" s="66" t="s">
        <v>46</v>
      </c>
      <c r="B70" s="66" t="s">
        <v>14</v>
      </c>
      <c r="C70" s="66" t="s">
        <v>13</v>
      </c>
      <c r="D70" s="66"/>
      <c r="E70" s="66" t="s">
        <v>46</v>
      </c>
      <c r="F70" s="66" t="s">
        <v>14</v>
      </c>
      <c r="G70" s="66" t="s">
        <v>13</v>
      </c>
      <c r="H70" s="66"/>
      <c r="I70" s="66" t="s">
        <v>46</v>
      </c>
      <c r="J70" s="66" t="s">
        <v>14</v>
      </c>
      <c r="K70" s="66" t="s">
        <v>13</v>
      </c>
      <c r="L70" s="96"/>
      <c r="M70" s="4" t="s">
        <v>22</v>
      </c>
      <c r="N70" s="40">
        <f>(J67)*10</f>
        <v>10</v>
      </c>
      <c r="O70" s="41">
        <f>(10*N70)/10</f>
        <v>10</v>
      </c>
      <c r="Q70" s="543"/>
      <c r="R70" s="543"/>
      <c r="S70" s="543"/>
      <c r="U70" s="544">
        <v>1</v>
      </c>
      <c r="V70" s="545"/>
      <c r="W70" s="61">
        <f>(100*U70)</f>
        <v>100</v>
      </c>
    </row>
    <row r="71" spans="1:24" ht="14.25" customHeight="1" x14ac:dyDescent="0.2">
      <c r="A71" s="66">
        <v>8</v>
      </c>
      <c r="B71" s="66">
        <v>4</v>
      </c>
      <c r="C71" s="66">
        <f>(A71-B71)</f>
        <v>4</v>
      </c>
      <c r="D71" s="96"/>
      <c r="E71" s="66">
        <v>8</v>
      </c>
      <c r="F71" s="66">
        <v>3</v>
      </c>
      <c r="G71" s="66">
        <f>(E71-F71)</f>
        <v>5</v>
      </c>
      <c r="H71" s="66"/>
      <c r="I71" s="66">
        <v>7</v>
      </c>
      <c r="J71" s="66">
        <v>0</v>
      </c>
      <c r="K71" s="66">
        <f>(I71-J71)</f>
        <v>7</v>
      </c>
      <c r="L71" s="81"/>
      <c r="M71" s="525" t="s">
        <v>60</v>
      </c>
      <c r="N71" s="525"/>
      <c r="O71" s="525"/>
      <c r="U71" s="96"/>
      <c r="V71" s="96"/>
      <c r="W71" s="96"/>
    </row>
    <row r="72" spans="1:24" ht="14.25" customHeight="1" x14ac:dyDescent="0.2">
      <c r="A72" s="66"/>
      <c r="B72" s="66"/>
      <c r="C72" s="66"/>
      <c r="D72" s="127"/>
      <c r="E72" s="66"/>
      <c r="F72" s="66"/>
      <c r="G72" s="66"/>
      <c r="H72" s="66"/>
      <c r="I72" s="66"/>
      <c r="J72" s="66"/>
      <c r="K72" s="96"/>
      <c r="L72" s="81"/>
      <c r="M72" s="4" t="s">
        <v>20</v>
      </c>
      <c r="N72" s="40">
        <f>(F71)*10</f>
        <v>30</v>
      </c>
      <c r="O72" s="41">
        <f>(10*N72)/10</f>
        <v>30</v>
      </c>
      <c r="U72" s="546" t="s">
        <v>210</v>
      </c>
      <c r="V72" s="547"/>
      <c r="W72" s="548"/>
    </row>
    <row r="73" spans="1:24" ht="14.25" customHeight="1" x14ac:dyDescent="0.2">
      <c r="A73" s="525" t="s">
        <v>271</v>
      </c>
      <c r="B73" s="525"/>
      <c r="C73" s="525"/>
      <c r="E73" s="525" t="s">
        <v>288</v>
      </c>
      <c r="F73" s="525"/>
      <c r="G73" s="525"/>
      <c r="I73" s="525" t="s">
        <v>276</v>
      </c>
      <c r="J73" s="525"/>
      <c r="K73" s="525"/>
      <c r="L73" s="81"/>
      <c r="M73" s="4" t="s">
        <v>21</v>
      </c>
      <c r="N73" s="40">
        <f>(B71)*10</f>
        <v>40</v>
      </c>
      <c r="O73" s="41">
        <f>(10*N73)/10</f>
        <v>40</v>
      </c>
      <c r="U73" s="549">
        <v>0</v>
      </c>
      <c r="V73" s="550"/>
      <c r="W73" s="132">
        <f>(U73/6)*100</f>
        <v>0</v>
      </c>
    </row>
    <row r="74" spans="1:24" ht="14.25" customHeight="1" x14ac:dyDescent="0.2">
      <c r="A74" s="66" t="s">
        <v>46</v>
      </c>
      <c r="B74" s="66" t="s">
        <v>14</v>
      </c>
      <c r="C74" s="66" t="s">
        <v>13</v>
      </c>
      <c r="E74" s="66" t="s">
        <v>46</v>
      </c>
      <c r="F74" s="66" t="s">
        <v>14</v>
      </c>
      <c r="G74" s="66" t="s">
        <v>13</v>
      </c>
      <c r="I74" s="66" t="s">
        <v>46</v>
      </c>
      <c r="J74" s="66" t="s">
        <v>14</v>
      </c>
      <c r="K74" s="66" t="s">
        <v>13</v>
      </c>
      <c r="L74" s="81"/>
      <c r="M74" s="4" t="s">
        <v>22</v>
      </c>
      <c r="N74" s="40">
        <f>(J71)*10</f>
        <v>0</v>
      </c>
      <c r="O74" s="41">
        <f>(10*N74)/10</f>
        <v>0</v>
      </c>
      <c r="T74" s="31"/>
      <c r="U74" s="31"/>
      <c r="V74" s="31"/>
    </row>
    <row r="75" spans="1:24" ht="14.25" customHeight="1" x14ac:dyDescent="0.2">
      <c r="A75" s="66">
        <v>13</v>
      </c>
      <c r="B75" s="66">
        <v>1</v>
      </c>
      <c r="C75" s="66">
        <f>(A75-B75)</f>
        <v>12</v>
      </c>
      <c r="E75" s="66">
        <v>13</v>
      </c>
      <c r="F75" s="66">
        <v>0</v>
      </c>
      <c r="G75" s="66">
        <f>(E75-F75)</f>
        <v>13</v>
      </c>
      <c r="I75" s="66">
        <v>7</v>
      </c>
      <c r="J75" s="66">
        <v>1</v>
      </c>
      <c r="K75" s="66">
        <f>(I75-J75)</f>
        <v>6</v>
      </c>
      <c r="L75" s="96"/>
      <c r="M75" s="525" t="s">
        <v>66</v>
      </c>
      <c r="N75" s="525"/>
      <c r="O75" s="525"/>
    </row>
    <row r="76" spans="1:24" ht="14.25" customHeight="1" x14ac:dyDescent="0.2">
      <c r="I76" s="96"/>
      <c r="J76" s="96"/>
      <c r="K76" s="96"/>
      <c r="L76" s="96"/>
      <c r="M76" s="4" t="s">
        <v>20</v>
      </c>
      <c r="N76" s="40">
        <f>(F75)*10</f>
        <v>0</v>
      </c>
      <c r="O76" s="41">
        <f>(10*N76)/10</f>
        <v>0</v>
      </c>
    </row>
    <row r="77" spans="1:24" ht="14.25" customHeight="1" x14ac:dyDescent="0.2">
      <c r="A77" s="525" t="s">
        <v>272</v>
      </c>
      <c r="B77" s="525"/>
      <c r="C77" s="525"/>
      <c r="E77" s="525" t="s">
        <v>287</v>
      </c>
      <c r="F77" s="525"/>
      <c r="G77" s="525"/>
      <c r="I77" s="525" t="s">
        <v>277</v>
      </c>
      <c r="J77" s="525"/>
      <c r="K77" s="525"/>
      <c r="L77" s="96"/>
      <c r="M77" s="4" t="s">
        <v>21</v>
      </c>
      <c r="N77" s="40">
        <f>(B75)*10</f>
        <v>10</v>
      </c>
      <c r="O77" s="41">
        <f>(10*N77)/10</f>
        <v>10</v>
      </c>
    </row>
    <row r="78" spans="1:24" ht="14.25" customHeight="1" x14ac:dyDescent="0.2">
      <c r="A78" s="66" t="s">
        <v>46</v>
      </c>
      <c r="B78" s="66" t="s">
        <v>14</v>
      </c>
      <c r="C78" s="66" t="s">
        <v>13</v>
      </c>
      <c r="E78" s="66" t="s">
        <v>46</v>
      </c>
      <c r="F78" s="66" t="s">
        <v>14</v>
      </c>
      <c r="G78" s="66" t="s">
        <v>13</v>
      </c>
      <c r="I78" s="66" t="s">
        <v>46</v>
      </c>
      <c r="J78" s="66" t="s">
        <v>14</v>
      </c>
      <c r="K78" s="66" t="s">
        <v>13</v>
      </c>
      <c r="L78" s="96"/>
      <c r="M78" s="4" t="s">
        <v>22</v>
      </c>
      <c r="N78" s="40">
        <f>(J75)*10</f>
        <v>10</v>
      </c>
      <c r="O78" s="41">
        <f>(10*N78)/10</f>
        <v>10</v>
      </c>
      <c r="R78" s="1" t="s">
        <v>263</v>
      </c>
    </row>
    <row r="79" spans="1:24" ht="14.25" customHeight="1" x14ac:dyDescent="0.2">
      <c r="A79" s="66">
        <v>9</v>
      </c>
      <c r="B79" s="66">
        <v>2</v>
      </c>
      <c r="C79" s="66">
        <f>(A79-B79)</f>
        <v>7</v>
      </c>
      <c r="E79" s="66">
        <v>9</v>
      </c>
      <c r="F79" s="66">
        <v>1</v>
      </c>
      <c r="G79" s="66">
        <f>(E79-F79)</f>
        <v>8</v>
      </c>
      <c r="I79" s="66">
        <v>7</v>
      </c>
      <c r="J79" s="66">
        <v>1</v>
      </c>
      <c r="K79" s="66">
        <f>(I79-J79)</f>
        <v>6</v>
      </c>
      <c r="L79" s="96"/>
      <c r="M79" s="525" t="s">
        <v>269</v>
      </c>
      <c r="N79" s="525"/>
      <c r="O79" s="525"/>
      <c r="R79" s="72">
        <f>SUM(E63+E95+E67+E91+I67+6)</f>
        <v>52</v>
      </c>
      <c r="S79" s="72">
        <f>SUM(G63+G67+G91+G95+K67+5)</f>
        <v>45</v>
      </c>
    </row>
    <row r="80" spans="1:24" ht="14.25" customHeight="1" x14ac:dyDescent="0.2">
      <c r="L80" s="96"/>
      <c r="M80" s="4" t="s">
        <v>20</v>
      </c>
      <c r="N80" s="40">
        <f>(F79)*10</f>
        <v>10</v>
      </c>
      <c r="O80" s="41">
        <f>(10*N80)/10</f>
        <v>10</v>
      </c>
      <c r="R80" s="1">
        <f>100/R79</f>
        <v>1.9230769230769231</v>
      </c>
      <c r="S80" s="163">
        <f>S79*R80</f>
        <v>86.538461538461547</v>
      </c>
    </row>
    <row r="81" spans="1:24" ht="14.25" customHeight="1" x14ac:dyDescent="0.2">
      <c r="A81" s="525" t="s">
        <v>275</v>
      </c>
      <c r="B81" s="525"/>
      <c r="C81" s="525"/>
      <c r="E81" s="525" t="s">
        <v>274</v>
      </c>
      <c r="F81" s="525"/>
      <c r="G81" s="525"/>
      <c r="I81" s="525" t="s">
        <v>273</v>
      </c>
      <c r="J81" s="525"/>
      <c r="K81" s="525"/>
      <c r="L81" s="96"/>
      <c r="M81" s="4" t="s">
        <v>21</v>
      </c>
      <c r="N81" s="40">
        <f>(B79)*10</f>
        <v>20</v>
      </c>
      <c r="O81" s="41">
        <f>(10*N81)/10</f>
        <v>20</v>
      </c>
    </row>
    <row r="82" spans="1:24" ht="14.25" customHeight="1" x14ac:dyDescent="0.2">
      <c r="A82" s="66" t="s">
        <v>46</v>
      </c>
      <c r="B82" s="66" t="s">
        <v>14</v>
      </c>
      <c r="C82" s="66" t="s">
        <v>13</v>
      </c>
      <c r="E82" s="66" t="s">
        <v>46</v>
      </c>
      <c r="F82" s="66" t="s">
        <v>14</v>
      </c>
      <c r="G82" s="66" t="s">
        <v>13</v>
      </c>
      <c r="I82" s="66" t="s">
        <v>46</v>
      </c>
      <c r="J82" s="66" t="s">
        <v>14</v>
      </c>
      <c r="K82" s="66" t="s">
        <v>13</v>
      </c>
      <c r="L82" s="96"/>
      <c r="M82" s="4" t="s">
        <v>22</v>
      </c>
      <c r="N82" s="40">
        <f>(J79)*10</f>
        <v>10</v>
      </c>
      <c r="O82" s="41">
        <f>(10*N82)/10</f>
        <v>10</v>
      </c>
      <c r="R82" s="1" t="s">
        <v>264</v>
      </c>
    </row>
    <row r="83" spans="1:24" ht="14.25" customHeight="1" x14ac:dyDescent="0.2">
      <c r="A83" s="66">
        <v>12</v>
      </c>
      <c r="B83" s="66">
        <v>1</v>
      </c>
      <c r="C83" s="66">
        <f>(A83-B83)</f>
        <v>11</v>
      </c>
      <c r="E83" s="66">
        <v>12</v>
      </c>
      <c r="F83" s="66">
        <v>2</v>
      </c>
      <c r="G83" s="66">
        <f>(E83-F83)</f>
        <v>10</v>
      </c>
      <c r="I83" s="66">
        <v>7</v>
      </c>
      <c r="J83" s="66">
        <v>0</v>
      </c>
      <c r="K83" s="66">
        <f>(I83-J83)</f>
        <v>7</v>
      </c>
      <c r="L83" s="96"/>
      <c r="M83" s="525" t="s">
        <v>278</v>
      </c>
      <c r="N83" s="525"/>
      <c r="O83" s="525"/>
      <c r="R83" s="72">
        <f>SUM(E87+E71+E83+I71+I83+I87+16+6)</f>
        <v>70</v>
      </c>
      <c r="S83" s="72">
        <f>SUM(G71+G83+G87+K71+K83+K87+V34+6)</f>
        <v>46</v>
      </c>
    </row>
    <row r="84" spans="1:24" ht="14.25" customHeight="1" x14ac:dyDescent="0.2">
      <c r="L84" s="96"/>
      <c r="M84" s="4" t="s">
        <v>20</v>
      </c>
      <c r="N84" s="40">
        <f>(F83)*10</f>
        <v>20</v>
      </c>
      <c r="O84" s="41">
        <f>(10*N84)/10</f>
        <v>20</v>
      </c>
      <c r="R84" s="1">
        <f>100/R83</f>
        <v>1.4285714285714286</v>
      </c>
      <c r="S84" s="163">
        <f>S83*R84</f>
        <v>65.714285714285722</v>
      </c>
    </row>
    <row r="85" spans="1:24" ht="14.25" customHeight="1" x14ac:dyDescent="0.2">
      <c r="A85" s="525" t="s">
        <v>95</v>
      </c>
      <c r="B85" s="525"/>
      <c r="C85" s="525"/>
      <c r="E85" s="525" t="s">
        <v>87</v>
      </c>
      <c r="F85" s="525"/>
      <c r="G85" s="525"/>
      <c r="I85" s="525" t="s">
        <v>102</v>
      </c>
      <c r="J85" s="525"/>
      <c r="K85" s="525"/>
      <c r="L85" s="96"/>
      <c r="M85" s="4" t="s">
        <v>21</v>
      </c>
      <c r="N85" s="40">
        <f>(B83)*10</f>
        <v>10</v>
      </c>
      <c r="O85" s="41">
        <f>(10*N85)/10</f>
        <v>10</v>
      </c>
    </row>
    <row r="86" spans="1:24" ht="14.25" customHeight="1" x14ac:dyDescent="0.2">
      <c r="A86" s="66" t="s">
        <v>46</v>
      </c>
      <c r="B86" s="66" t="s">
        <v>14</v>
      </c>
      <c r="C86" s="66" t="s">
        <v>13</v>
      </c>
      <c r="E86" s="66" t="s">
        <v>46</v>
      </c>
      <c r="F86" s="66" t="s">
        <v>14</v>
      </c>
      <c r="G86" s="66" t="s">
        <v>13</v>
      </c>
      <c r="I86" s="66" t="s">
        <v>46</v>
      </c>
      <c r="J86" s="66" t="s">
        <v>14</v>
      </c>
      <c r="K86" s="66" t="s">
        <v>13</v>
      </c>
      <c r="L86" s="96"/>
      <c r="M86" s="4" t="s">
        <v>22</v>
      </c>
      <c r="N86" s="40">
        <f>(J83)*10</f>
        <v>0</v>
      </c>
      <c r="O86" s="41">
        <f>(10*N86)/10</f>
        <v>0</v>
      </c>
      <c r="R86" s="1" t="s">
        <v>265</v>
      </c>
    </row>
    <row r="87" spans="1:24" ht="14.25" customHeight="1" x14ac:dyDescent="0.2">
      <c r="A87" s="66">
        <v>8</v>
      </c>
      <c r="B87" s="66">
        <v>0</v>
      </c>
      <c r="C87" s="66">
        <f>(A87-B87)</f>
        <v>8</v>
      </c>
      <c r="E87" s="66">
        <v>7</v>
      </c>
      <c r="F87" s="66">
        <v>2</v>
      </c>
      <c r="G87" s="66">
        <f>(E87-F87)</f>
        <v>5</v>
      </c>
      <c r="I87" s="66">
        <v>7</v>
      </c>
      <c r="J87" s="66">
        <v>2</v>
      </c>
      <c r="K87" s="66">
        <f>(I87-J87)</f>
        <v>5</v>
      </c>
      <c r="L87" s="96"/>
      <c r="M87" s="525" t="s">
        <v>61</v>
      </c>
      <c r="N87" s="525"/>
      <c r="O87" s="525"/>
      <c r="R87" s="72">
        <f>SUM(A63+A67+A71+A83+A87+A91+A95+A99+A103+E63+E67+E71+E95+E99+E103+I67+I71+I83+I87+E91+E83+E87+6+16+6)</f>
        <v>211</v>
      </c>
      <c r="S87" s="72">
        <f>SUM(C67+C63+G83+G87+G91+C71+C83+C87+C91+C95+C99+C103+G63+G67+G71+G95+G99+K67+K71+K83+K87+G103+5+V34+6)</f>
        <v>165</v>
      </c>
    </row>
    <row r="88" spans="1:24" ht="14.25" customHeight="1" x14ac:dyDescent="0.2">
      <c r="L88" s="96"/>
      <c r="M88" s="4" t="s">
        <v>20</v>
      </c>
      <c r="N88" s="40">
        <f>(F87)*10</f>
        <v>20</v>
      </c>
      <c r="O88" s="41">
        <f>(10*N88)/10</f>
        <v>20</v>
      </c>
      <c r="R88" s="1">
        <f>100/R87</f>
        <v>0.47393364928909953</v>
      </c>
      <c r="S88" s="163">
        <f>S87*R88</f>
        <v>78.199052132701425</v>
      </c>
      <c r="T88" s="72"/>
      <c r="U88" s="72"/>
      <c r="V88" s="72"/>
    </row>
    <row r="89" spans="1:24" ht="14.25" customHeight="1" x14ac:dyDescent="0.2">
      <c r="A89" s="525" t="s">
        <v>97</v>
      </c>
      <c r="B89" s="525"/>
      <c r="C89" s="525"/>
      <c r="E89" s="525" t="s">
        <v>89</v>
      </c>
      <c r="F89" s="525"/>
      <c r="G89" s="525"/>
      <c r="L89" s="96"/>
      <c r="M89" s="4" t="s">
        <v>21</v>
      </c>
      <c r="N89" s="40">
        <f>(B87)*10</f>
        <v>0</v>
      </c>
      <c r="O89" s="41">
        <f>(10*N89)/10</f>
        <v>0</v>
      </c>
      <c r="P89" s="72"/>
      <c r="Q89" s="72"/>
      <c r="R89" s="72"/>
      <c r="S89" s="72"/>
      <c r="T89" s="72"/>
      <c r="U89" s="72"/>
      <c r="V89" s="72"/>
      <c r="W89" s="72"/>
    </row>
    <row r="90" spans="1:24" ht="14.25" customHeight="1" x14ac:dyDescent="0.2">
      <c r="A90" s="66" t="s">
        <v>46</v>
      </c>
      <c r="B90" s="66" t="s">
        <v>14</v>
      </c>
      <c r="C90" s="66" t="s">
        <v>13</v>
      </c>
      <c r="E90" s="66" t="s">
        <v>46</v>
      </c>
      <c r="F90" s="66" t="s">
        <v>14</v>
      </c>
      <c r="G90" s="66" t="s">
        <v>13</v>
      </c>
      <c r="L90" s="96"/>
      <c r="M90" s="4" t="s">
        <v>22</v>
      </c>
      <c r="N90" s="40">
        <f>(J87)*10</f>
        <v>20</v>
      </c>
      <c r="O90" s="41">
        <f>(10*N90)/10</f>
        <v>20</v>
      </c>
      <c r="P90" s="72"/>
      <c r="Q90" s="72"/>
      <c r="R90" s="1" t="s">
        <v>266</v>
      </c>
      <c r="S90" s="72"/>
      <c r="T90" s="72"/>
      <c r="U90" s="72"/>
      <c r="V90" s="72"/>
      <c r="W90" s="72"/>
    </row>
    <row r="91" spans="1:24" ht="14.25" customHeight="1" x14ac:dyDescent="0.2">
      <c r="A91" s="66">
        <v>13</v>
      </c>
      <c r="B91" s="66">
        <v>1</v>
      </c>
      <c r="C91" s="66">
        <f>(A91-B91)</f>
        <v>12</v>
      </c>
      <c r="E91" s="66">
        <v>12</v>
      </c>
      <c r="F91" s="66">
        <v>0</v>
      </c>
      <c r="G91" s="66">
        <f>(E91-F91)</f>
        <v>12</v>
      </c>
      <c r="L91" s="96"/>
      <c r="M91" s="525" t="s">
        <v>62</v>
      </c>
      <c r="N91" s="525"/>
      <c r="O91" s="525"/>
      <c r="P91" s="72"/>
      <c r="Q91" s="72"/>
      <c r="R91" s="72">
        <f>E99</f>
        <v>5</v>
      </c>
      <c r="S91" s="72">
        <f>G99</f>
        <v>3</v>
      </c>
      <c r="T91" s="72"/>
      <c r="U91" s="72"/>
      <c r="V91" s="72"/>
      <c r="W91" s="72"/>
    </row>
    <row r="92" spans="1:24" ht="14.25" customHeight="1" x14ac:dyDescent="0.2">
      <c r="L92" s="96"/>
      <c r="M92" s="4" t="s">
        <v>20</v>
      </c>
      <c r="N92" s="40">
        <f>(F91)*10</f>
        <v>0</v>
      </c>
      <c r="O92" s="41">
        <f>(10*N92)/10</f>
        <v>0</v>
      </c>
      <c r="P92" s="72"/>
      <c r="Q92" s="72"/>
      <c r="R92" s="72">
        <f>100/R91</f>
        <v>20</v>
      </c>
      <c r="S92" s="72">
        <f>S91*R92</f>
        <v>60</v>
      </c>
      <c r="T92" s="72"/>
      <c r="U92" s="72"/>
      <c r="V92" s="72"/>
      <c r="W92" s="72"/>
      <c r="X92" s="72"/>
    </row>
    <row r="93" spans="1:24" ht="14.25" customHeight="1" x14ac:dyDescent="0.2">
      <c r="A93" s="525" t="s">
        <v>98</v>
      </c>
      <c r="B93" s="525"/>
      <c r="C93" s="525"/>
      <c r="E93" s="525" t="s">
        <v>90</v>
      </c>
      <c r="F93" s="525"/>
      <c r="G93" s="525"/>
      <c r="L93" s="96"/>
      <c r="M93" s="4" t="s">
        <v>21</v>
      </c>
      <c r="N93" s="40">
        <f>(B91)*10</f>
        <v>10</v>
      </c>
      <c r="O93" s="41">
        <f>(10*N93)/10</f>
        <v>10</v>
      </c>
      <c r="P93" s="72"/>
      <c r="Q93" s="72"/>
      <c r="R93" s="72"/>
      <c r="S93" s="72"/>
      <c r="W93" s="72"/>
      <c r="X93" s="72"/>
    </row>
    <row r="94" spans="1:24" ht="14.25" customHeight="1" x14ac:dyDescent="0.2">
      <c r="A94" s="66" t="s">
        <v>46</v>
      </c>
      <c r="B94" s="66" t="s">
        <v>14</v>
      </c>
      <c r="C94" s="66" t="s">
        <v>13</v>
      </c>
      <c r="E94" s="66" t="s">
        <v>46</v>
      </c>
      <c r="F94" s="66" t="s">
        <v>14</v>
      </c>
      <c r="G94" s="66" t="s">
        <v>13</v>
      </c>
      <c r="L94" s="96"/>
      <c r="M94" s="66"/>
      <c r="N94" s="66"/>
      <c r="O94" s="66"/>
      <c r="X94" s="72"/>
    </row>
    <row r="95" spans="1:24" ht="14.25" customHeight="1" x14ac:dyDescent="0.2">
      <c r="A95" s="66">
        <v>6</v>
      </c>
      <c r="B95" s="66">
        <v>0</v>
      </c>
      <c r="C95" s="66">
        <f>(A95-B95)</f>
        <v>6</v>
      </c>
      <c r="E95" s="66">
        <v>4</v>
      </c>
      <c r="F95" s="66">
        <v>0</v>
      </c>
      <c r="G95" s="66">
        <f>(E95-F95)</f>
        <v>4</v>
      </c>
      <c r="L95" s="96"/>
      <c r="M95" s="525" t="s">
        <v>64</v>
      </c>
      <c r="N95" s="525"/>
      <c r="O95" s="525"/>
      <c r="X95" s="72"/>
    </row>
    <row r="96" spans="1:24" ht="14.25" customHeight="1" x14ac:dyDescent="0.2">
      <c r="C96" s="1" t="s">
        <v>134</v>
      </c>
      <c r="L96" s="96"/>
      <c r="M96" s="4" t="s">
        <v>20</v>
      </c>
      <c r="N96" s="40">
        <f>(F95)*10</f>
        <v>0</v>
      </c>
      <c r="O96" s="41">
        <f>(10*N96)/10</f>
        <v>0</v>
      </c>
      <c r="X96" s="72"/>
    </row>
    <row r="97" spans="1:15" ht="14.25" customHeight="1" x14ac:dyDescent="0.2">
      <c r="A97" s="525" t="s">
        <v>99</v>
      </c>
      <c r="B97" s="525"/>
      <c r="C97" s="525"/>
      <c r="D97" s="66"/>
      <c r="E97" s="525" t="s">
        <v>91</v>
      </c>
      <c r="F97" s="525"/>
      <c r="G97" s="525"/>
      <c r="H97" s="96"/>
      <c r="L97" s="96"/>
      <c r="M97" s="4" t="s">
        <v>21</v>
      </c>
      <c r="N97" s="40">
        <f>(B95)*10</f>
        <v>0</v>
      </c>
      <c r="O97" s="41">
        <f>(10*N97)/10</f>
        <v>0</v>
      </c>
    </row>
    <row r="98" spans="1:15" ht="14.25" customHeight="1" x14ac:dyDescent="0.2">
      <c r="A98" s="66" t="s">
        <v>46</v>
      </c>
      <c r="B98" s="66" t="s">
        <v>14</v>
      </c>
      <c r="C98" s="66" t="s">
        <v>13</v>
      </c>
      <c r="D98" s="131"/>
      <c r="E98" s="66" t="s">
        <v>46</v>
      </c>
      <c r="F98" s="66" t="s">
        <v>14</v>
      </c>
      <c r="G98" s="66" t="s">
        <v>13</v>
      </c>
      <c r="H98" s="66"/>
      <c r="L98" s="96"/>
      <c r="M98" s="66"/>
      <c r="N98" s="66"/>
      <c r="O98" s="66"/>
    </row>
    <row r="99" spans="1:15" ht="14.25" customHeight="1" x14ac:dyDescent="0.2">
      <c r="A99" s="66">
        <v>5</v>
      </c>
      <c r="B99" s="66">
        <v>2</v>
      </c>
      <c r="C99" s="66">
        <f>(A99-B99)</f>
        <v>3</v>
      </c>
      <c r="D99" s="23"/>
      <c r="E99" s="66">
        <v>5</v>
      </c>
      <c r="F99" s="66">
        <v>2</v>
      </c>
      <c r="G99" s="66">
        <f>(E99-F99)</f>
        <v>3</v>
      </c>
      <c r="H99" s="66"/>
      <c r="L99" s="96"/>
      <c r="M99" s="525" t="s">
        <v>65</v>
      </c>
      <c r="N99" s="525"/>
      <c r="O99" s="525"/>
    </row>
    <row r="100" spans="1:15" ht="14.25" customHeight="1" x14ac:dyDescent="0.2">
      <c r="A100" s="96"/>
      <c r="B100" s="96"/>
      <c r="C100" s="96"/>
      <c r="D100" s="24"/>
      <c r="E100" s="96"/>
      <c r="F100" s="96"/>
      <c r="G100" s="96"/>
      <c r="H100" s="66"/>
      <c r="L100" s="96"/>
      <c r="M100" s="4" t="s">
        <v>20</v>
      </c>
      <c r="N100" s="40">
        <f>(F99)*10</f>
        <v>20</v>
      </c>
      <c r="O100" s="41">
        <f>(10*N100)/10</f>
        <v>20</v>
      </c>
    </row>
    <row r="101" spans="1:15" ht="14.25" customHeight="1" x14ac:dyDescent="0.2">
      <c r="A101" s="525" t="s">
        <v>170</v>
      </c>
      <c r="B101" s="525"/>
      <c r="C101" s="525"/>
      <c r="D101" s="96"/>
      <c r="E101" s="525" t="s">
        <v>171</v>
      </c>
      <c r="F101" s="525"/>
      <c r="G101" s="525"/>
      <c r="H101" s="96"/>
      <c r="L101" s="96"/>
      <c r="M101" s="4" t="s">
        <v>21</v>
      </c>
      <c r="N101" s="40">
        <f>(B99)*10</f>
        <v>20</v>
      </c>
      <c r="O101" s="41">
        <f>(10*N101)/10</f>
        <v>20</v>
      </c>
    </row>
    <row r="102" spans="1:15" ht="14.25" customHeight="1" x14ac:dyDescent="0.2">
      <c r="A102" s="66" t="s">
        <v>46</v>
      </c>
      <c r="B102" s="66" t="s">
        <v>14</v>
      </c>
      <c r="C102" s="66" t="s">
        <v>13</v>
      </c>
      <c r="D102" s="96"/>
      <c r="E102" s="66" t="s">
        <v>46</v>
      </c>
      <c r="F102" s="66" t="s">
        <v>14</v>
      </c>
      <c r="G102" s="66" t="s">
        <v>13</v>
      </c>
      <c r="H102" s="96"/>
      <c r="L102" s="96"/>
      <c r="M102" s="65"/>
      <c r="N102" s="66"/>
      <c r="O102" s="67"/>
    </row>
    <row r="103" spans="1:15" ht="14.25" customHeight="1" x14ac:dyDescent="0.2">
      <c r="A103" s="66">
        <v>3</v>
      </c>
      <c r="B103" s="66">
        <v>0</v>
      </c>
      <c r="C103" s="66">
        <f>(A103-B103)</f>
        <v>3</v>
      </c>
      <c r="D103" s="96"/>
      <c r="E103" s="66">
        <v>5</v>
      </c>
      <c r="F103" s="66">
        <v>0</v>
      </c>
      <c r="G103" s="66">
        <f>(E103-F103)</f>
        <v>5</v>
      </c>
      <c r="H103" s="96"/>
      <c r="L103" s="72"/>
      <c r="M103" s="525" t="s">
        <v>45</v>
      </c>
      <c r="N103" s="525"/>
      <c r="O103" s="525"/>
    </row>
    <row r="104" spans="1:15" ht="14.25" customHeight="1" x14ac:dyDescent="0.2">
      <c r="A104" s="96"/>
      <c r="B104" s="96"/>
      <c r="C104" s="96"/>
      <c r="D104" s="128"/>
      <c r="E104" s="96"/>
      <c r="F104" s="96"/>
      <c r="G104" s="96"/>
      <c r="H104" s="96"/>
      <c r="I104" s="96"/>
      <c r="J104" s="96"/>
      <c r="K104" s="96"/>
      <c r="L104" s="72"/>
      <c r="M104" s="4" t="s">
        <v>20</v>
      </c>
      <c r="N104" s="40">
        <f>(F103)*10</f>
        <v>0</v>
      </c>
      <c r="O104" s="41">
        <f>(10*N104)/10</f>
        <v>0</v>
      </c>
    </row>
    <row r="105" spans="1:15" ht="14.25" customHeight="1" x14ac:dyDescent="0.2">
      <c r="D105" s="96"/>
      <c r="H105" s="66"/>
      <c r="I105" s="96"/>
      <c r="J105" s="96"/>
      <c r="K105" s="96"/>
      <c r="M105" s="4" t="s">
        <v>21</v>
      </c>
      <c r="N105" s="40">
        <f>(B103)*10</f>
        <v>0</v>
      </c>
      <c r="O105" s="41">
        <f>(10*N105)/10</f>
        <v>0</v>
      </c>
    </row>
    <row r="106" spans="1:15" ht="14.25" customHeight="1" x14ac:dyDescent="0.2">
      <c r="D106" s="129"/>
      <c r="H106" s="66"/>
      <c r="I106" s="96"/>
      <c r="J106" s="96"/>
      <c r="K106" s="96"/>
    </row>
    <row r="107" spans="1:15" ht="14.25" customHeight="1" x14ac:dyDescent="0.2">
      <c r="D107" s="50"/>
      <c r="H107" s="66"/>
      <c r="I107" s="96"/>
      <c r="J107" s="96"/>
      <c r="K107" s="96"/>
    </row>
    <row r="108" spans="1:15" ht="14.25" customHeight="1" x14ac:dyDescent="0.2">
      <c r="A108" s="96"/>
      <c r="B108" s="96"/>
      <c r="C108" s="96"/>
      <c r="D108" s="128"/>
      <c r="E108" s="96"/>
      <c r="F108" s="96"/>
      <c r="G108" s="96"/>
      <c r="H108" s="96"/>
      <c r="I108" s="96"/>
      <c r="J108" s="96"/>
      <c r="K108" s="96"/>
    </row>
    <row r="109" spans="1:15" ht="14.25" customHeight="1" x14ac:dyDescent="0.2">
      <c r="D109" s="128"/>
      <c r="H109" s="96"/>
      <c r="I109" s="96"/>
      <c r="J109" s="96"/>
      <c r="K109" s="96"/>
    </row>
    <row r="110" spans="1:15" ht="14.25" customHeight="1" x14ac:dyDescent="0.2">
      <c r="D110" s="128"/>
      <c r="H110" s="96"/>
      <c r="I110" s="96"/>
      <c r="J110" s="96"/>
      <c r="K110" s="96"/>
    </row>
    <row r="111" spans="1:15" ht="14.25" customHeight="1" x14ac:dyDescent="0.2">
      <c r="D111" s="128"/>
      <c r="H111" s="96"/>
      <c r="I111" s="96"/>
      <c r="J111" s="96"/>
      <c r="K111" s="96"/>
    </row>
    <row r="112" spans="1:15" ht="14.25" customHeight="1" x14ac:dyDescent="0.2">
      <c r="A112" s="96"/>
      <c r="B112" s="96"/>
      <c r="C112" s="96"/>
      <c r="D112" s="128"/>
      <c r="E112" s="96"/>
      <c r="F112" s="96"/>
      <c r="G112" s="96"/>
      <c r="H112" s="96"/>
      <c r="I112" s="96"/>
      <c r="J112" s="96"/>
      <c r="K112" s="96"/>
    </row>
    <row r="113" spans="1:24" ht="14.25" customHeight="1" x14ac:dyDescent="0.2">
      <c r="D113" s="128"/>
      <c r="H113" s="96"/>
      <c r="I113" s="96"/>
      <c r="J113" s="96"/>
      <c r="K113" s="96"/>
    </row>
    <row r="114" spans="1:24" ht="14.25" customHeight="1" x14ac:dyDescent="0.2">
      <c r="D114" s="50"/>
      <c r="H114" s="96"/>
      <c r="I114" s="96"/>
      <c r="J114" s="96"/>
      <c r="K114" s="96"/>
    </row>
    <row r="115" spans="1:24" ht="14.25" customHeight="1" x14ac:dyDescent="0.2">
      <c r="D115" s="50"/>
      <c r="H115" s="96"/>
      <c r="I115" s="96"/>
      <c r="J115" s="96"/>
      <c r="K115" s="96"/>
    </row>
    <row r="116" spans="1:24" ht="14.25" customHeight="1" x14ac:dyDescent="0.2">
      <c r="A116" s="66"/>
      <c r="B116" s="66"/>
      <c r="C116" s="66"/>
      <c r="D116" s="128"/>
      <c r="E116" s="66"/>
      <c r="F116" s="66"/>
      <c r="G116" s="66"/>
      <c r="H116" s="96"/>
      <c r="I116" s="96"/>
      <c r="J116" s="96"/>
      <c r="K116" s="96"/>
    </row>
    <row r="117" spans="1:24" ht="14.25" customHeight="1" x14ac:dyDescent="0.2">
      <c r="D117" s="128"/>
      <c r="H117" s="96"/>
      <c r="I117" s="96"/>
      <c r="J117" s="96"/>
      <c r="K117" s="96"/>
    </row>
    <row r="118" spans="1:24" ht="14.25" customHeight="1" x14ac:dyDescent="0.2">
      <c r="D118" s="128"/>
      <c r="H118" s="96"/>
      <c r="I118" s="96"/>
      <c r="J118" s="96"/>
      <c r="K118" s="96"/>
    </row>
    <row r="119" spans="1:24" ht="14.25" customHeight="1" x14ac:dyDescent="0.2">
      <c r="D119" s="128"/>
      <c r="H119" s="96"/>
      <c r="I119" s="96"/>
      <c r="J119" s="96"/>
      <c r="K119" s="96"/>
    </row>
    <row r="125" spans="1:24" s="96" customFormat="1" ht="18.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row>
    <row r="127" spans="1:24" s="96" customFormat="1" ht="18.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row>
    <row r="128" spans="1:24" s="96" customFormat="1" ht="14.2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row>
    <row r="129" spans="1:24" s="96" customForma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row>
    <row r="130" spans="1:24" s="96" customForma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row>
    <row r="131" spans="1:24" s="96" customFormat="1" ht="14.2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row>
    <row r="132" spans="1:24" s="96" customForma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row>
    <row r="133" spans="1:24" s="96" customForma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row>
    <row r="134" spans="1:24" s="96" customFormat="1" ht="1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row>
    <row r="136" spans="1:24" s="96" customFormat="1" ht="1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row>
    <row r="137" spans="1:24" s="96" customFormat="1" ht="1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row>
  </sheetData>
  <mergeCells count="173">
    <mergeCell ref="M99:O99"/>
    <mergeCell ref="A101:C101"/>
    <mergeCell ref="E101:G101"/>
    <mergeCell ref="M103:O103"/>
    <mergeCell ref="M91:O91"/>
    <mergeCell ref="A93:C93"/>
    <mergeCell ref="E93:G93"/>
    <mergeCell ref="M95:O95"/>
    <mergeCell ref="A97:C97"/>
    <mergeCell ref="E97:G97"/>
    <mergeCell ref="M83:O83"/>
    <mergeCell ref="A85:C85"/>
    <mergeCell ref="E85:G85"/>
    <mergeCell ref="I85:K85"/>
    <mergeCell ref="M87:O87"/>
    <mergeCell ref="A89:C89"/>
    <mergeCell ref="E89:G89"/>
    <mergeCell ref="M75:O75"/>
    <mergeCell ref="A77:C77"/>
    <mergeCell ref="E77:G77"/>
    <mergeCell ref="I77:K77"/>
    <mergeCell ref="M79:O79"/>
    <mergeCell ref="A81:C81"/>
    <mergeCell ref="E81:G81"/>
    <mergeCell ref="I81:K81"/>
    <mergeCell ref="M71:O71"/>
    <mergeCell ref="U72:W72"/>
    <mergeCell ref="A73:C73"/>
    <mergeCell ref="E73:G73"/>
    <mergeCell ref="I73:K73"/>
    <mergeCell ref="U73:V73"/>
    <mergeCell ref="M67:O67"/>
    <mergeCell ref="Q67:R67"/>
    <mergeCell ref="U67:V67"/>
    <mergeCell ref="A69:C69"/>
    <mergeCell ref="E69:G69"/>
    <mergeCell ref="I69:K69"/>
    <mergeCell ref="Q69:S69"/>
    <mergeCell ref="U69:W69"/>
    <mergeCell ref="Q66:S66"/>
    <mergeCell ref="U66:W66"/>
    <mergeCell ref="N44:V45"/>
    <mergeCell ref="A61:C61"/>
    <mergeCell ref="E61:G61"/>
    <mergeCell ref="M63:O63"/>
    <mergeCell ref="Q63:S63"/>
    <mergeCell ref="U63:W63"/>
    <mergeCell ref="Q70:S70"/>
    <mergeCell ref="U70:V70"/>
    <mergeCell ref="Q64:R64"/>
    <mergeCell ref="U64:V64"/>
    <mergeCell ref="E41:G41"/>
    <mergeCell ref="E44:G44"/>
    <mergeCell ref="N41:V41"/>
    <mergeCell ref="E43:G43"/>
    <mergeCell ref="N42:V42"/>
    <mergeCell ref="A65:C65"/>
    <mergeCell ref="E65:G65"/>
    <mergeCell ref="I65:K65"/>
    <mergeCell ref="A34:A35"/>
    <mergeCell ref="B34:B35"/>
    <mergeCell ref="C34:C35"/>
    <mergeCell ref="D34:D35"/>
    <mergeCell ref="E34:E35"/>
    <mergeCell ref="F34:G34"/>
    <mergeCell ref="F36:G36"/>
    <mergeCell ref="N43:U43"/>
    <mergeCell ref="N39:P39"/>
    <mergeCell ref="A40:C40"/>
    <mergeCell ref="E40:G40"/>
    <mergeCell ref="N40:P40"/>
    <mergeCell ref="N38:P38"/>
    <mergeCell ref="F35:G35"/>
    <mergeCell ref="A36:A37"/>
    <mergeCell ref="B36:B37"/>
    <mergeCell ref="A32:A33"/>
    <mergeCell ref="B32:B33"/>
    <mergeCell ref="C32:C33"/>
    <mergeCell ref="D32:D33"/>
    <mergeCell ref="E32:E33"/>
    <mergeCell ref="F32:G32"/>
    <mergeCell ref="R32:R33"/>
    <mergeCell ref="F31:G31"/>
    <mergeCell ref="N31:P31"/>
    <mergeCell ref="A30:A31"/>
    <mergeCell ref="B30:B31"/>
    <mergeCell ref="C30:C31"/>
    <mergeCell ref="D30:D31"/>
    <mergeCell ref="E30:E31"/>
    <mergeCell ref="F33:G33"/>
    <mergeCell ref="C36:C37"/>
    <mergeCell ref="D36:D37"/>
    <mergeCell ref="E36:E37"/>
    <mergeCell ref="F37:G37"/>
    <mergeCell ref="F29:G29"/>
    <mergeCell ref="F27:G27"/>
    <mergeCell ref="F30:G30"/>
    <mergeCell ref="M24:N25"/>
    <mergeCell ref="O24:W24"/>
    <mergeCell ref="F25:G25"/>
    <mergeCell ref="O25:Q26"/>
    <mergeCell ref="R25:T26"/>
    <mergeCell ref="F26:G26"/>
    <mergeCell ref="F28:G28"/>
    <mergeCell ref="M28:N29"/>
    <mergeCell ref="O28:W28"/>
    <mergeCell ref="R31:V31"/>
    <mergeCell ref="A28:A29"/>
    <mergeCell ref="B28:B29"/>
    <mergeCell ref="C28:C29"/>
    <mergeCell ref="D28:D29"/>
    <mergeCell ref="E28:E29"/>
    <mergeCell ref="A26:A27"/>
    <mergeCell ref="B26:B27"/>
    <mergeCell ref="C26:C27"/>
    <mergeCell ref="D26:D27"/>
    <mergeCell ref="E26:E27"/>
    <mergeCell ref="A24:A25"/>
    <mergeCell ref="B24:B25"/>
    <mergeCell ref="C24:C25"/>
    <mergeCell ref="D24:D25"/>
    <mergeCell ref="E24:E25"/>
    <mergeCell ref="F22:G22"/>
    <mergeCell ref="F23:G23"/>
    <mergeCell ref="F24:G24"/>
    <mergeCell ref="F20:G20"/>
    <mergeCell ref="F21:G21"/>
    <mergeCell ref="A22:A23"/>
    <mergeCell ref="B22:B23"/>
    <mergeCell ref="C22:C23"/>
    <mergeCell ref="D22:D23"/>
    <mergeCell ref="E22:E23"/>
    <mergeCell ref="A20:A21"/>
    <mergeCell ref="B20:B21"/>
    <mergeCell ref="C20:C21"/>
    <mergeCell ref="D20:D21"/>
    <mergeCell ref="E20:E21"/>
    <mergeCell ref="F18:G18"/>
    <mergeCell ref="F19:G19"/>
    <mergeCell ref="F16:G16"/>
    <mergeCell ref="F17:G17"/>
    <mergeCell ref="A18:A19"/>
    <mergeCell ref="B18:B19"/>
    <mergeCell ref="C18:C19"/>
    <mergeCell ref="D18:D19"/>
    <mergeCell ref="E18:E19"/>
    <mergeCell ref="A16:A17"/>
    <mergeCell ref="B16:B17"/>
    <mergeCell ref="C16:C17"/>
    <mergeCell ref="D16:D17"/>
    <mergeCell ref="E16:E17"/>
    <mergeCell ref="AB10:AF11"/>
    <mergeCell ref="A11:B12"/>
    <mergeCell ref="C12:E13"/>
    <mergeCell ref="F12:H13"/>
    <mergeCell ref="F15:G15"/>
    <mergeCell ref="C6:H6"/>
    <mergeCell ref="J6:K6"/>
    <mergeCell ref="M6:W6"/>
    <mergeCell ref="J7:K8"/>
    <mergeCell ref="M7:W7"/>
    <mergeCell ref="C8:H9"/>
    <mergeCell ref="M8:W8"/>
    <mergeCell ref="J9:K9"/>
    <mergeCell ref="M1:N2"/>
    <mergeCell ref="J2:K2"/>
    <mergeCell ref="O2:Q3"/>
    <mergeCell ref="R2:T3"/>
    <mergeCell ref="D3:G5"/>
    <mergeCell ref="J4:K4"/>
    <mergeCell ref="J5:K5"/>
    <mergeCell ref="M5:W5"/>
    <mergeCell ref="J10:K10"/>
  </mergeCells>
  <pageMargins left="0.19685039370078741" right="0" top="0" bottom="0" header="0" footer="0"/>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79C13-C80B-4170-89AB-41CC22B5E1A2}">
  <dimension ref="A1:AJ137"/>
  <sheetViews>
    <sheetView zoomScaleNormal="100" zoomScalePageLayoutView="70" workbookViewId="0">
      <selection activeCell="M24" sqref="M24:W45"/>
    </sheetView>
  </sheetViews>
  <sheetFormatPr baseColWidth="10" defaultRowHeight="14.25" x14ac:dyDescent="0.2"/>
  <cols>
    <col min="1" max="1" width="16.7109375" style="1" customWidth="1"/>
    <col min="2" max="5" width="7.7109375" style="1" customWidth="1"/>
    <col min="6" max="6" width="8.140625" style="1" customWidth="1"/>
    <col min="7" max="7" width="7" style="1" customWidth="1"/>
    <col min="8" max="8" width="8.140625" style="1" customWidth="1"/>
    <col min="9" max="9" width="6.85546875" style="1" customWidth="1"/>
    <col min="10" max="10" width="8.140625" style="1" customWidth="1"/>
    <col min="11" max="11" width="8.5703125" style="1" customWidth="1"/>
    <col min="12" max="12" width="11.140625" style="1" customWidth="1"/>
    <col min="13" max="13" width="13.7109375" style="1" customWidth="1"/>
    <col min="14" max="14" width="11.28515625" style="1" customWidth="1"/>
    <col min="15" max="15" width="9.85546875" style="1" customWidth="1"/>
    <col min="16" max="16" width="8.42578125" style="1" customWidth="1"/>
    <col min="17" max="17" width="9.42578125" style="1" customWidth="1"/>
    <col min="18" max="18" width="15.42578125" style="1" customWidth="1"/>
    <col min="19" max="19" width="10.85546875" style="1" customWidth="1"/>
    <col min="20" max="20" width="13.140625" style="1" customWidth="1"/>
    <col min="21" max="22" width="6.7109375" style="1" bestFit="1" customWidth="1"/>
    <col min="23" max="23" width="10.28515625" style="1" bestFit="1" customWidth="1"/>
    <col min="24" max="24" width="10.85546875" style="1" customWidth="1"/>
    <col min="25" max="29" width="15.7109375" style="1" bestFit="1" customWidth="1"/>
    <col min="30" max="30" width="16.42578125" style="1" customWidth="1"/>
    <col min="31" max="16384" width="11.42578125" style="1"/>
  </cols>
  <sheetData>
    <row r="1" spans="1:36" ht="15" customHeight="1" thickBot="1" x14ac:dyDescent="0.3">
      <c r="A1"/>
      <c r="B1"/>
      <c r="C1"/>
      <c r="D1"/>
      <c r="E1"/>
      <c r="F1"/>
      <c r="G1"/>
      <c r="H1"/>
      <c r="I1"/>
      <c r="J1"/>
      <c r="K1"/>
      <c r="M1" s="443" t="s">
        <v>199</v>
      </c>
      <c r="N1" s="443"/>
      <c r="O1" s="109"/>
      <c r="P1" s="109"/>
      <c r="Q1" s="109"/>
      <c r="R1" s="109"/>
      <c r="S1" s="110"/>
      <c r="T1" s="111"/>
      <c r="U1" s="111"/>
      <c r="V1" s="111"/>
      <c r="W1" s="117"/>
    </row>
    <row r="2" spans="1:36" ht="15" customHeight="1" x14ac:dyDescent="0.25">
      <c r="A2"/>
      <c r="B2"/>
      <c r="C2"/>
      <c r="D2"/>
      <c r="E2"/>
      <c r="F2"/>
      <c r="G2"/>
      <c r="H2"/>
      <c r="I2"/>
      <c r="J2" s="551" t="s">
        <v>390</v>
      </c>
      <c r="K2" s="551"/>
      <c r="L2" s="72"/>
      <c r="M2" s="443"/>
      <c r="N2" s="443"/>
      <c r="O2" s="445" t="s">
        <v>250</v>
      </c>
      <c r="P2" s="446"/>
      <c r="Q2" s="447"/>
      <c r="R2" s="552">
        <f>100/12*AH23</f>
        <v>50</v>
      </c>
      <c r="S2" s="553"/>
      <c r="T2" s="554"/>
      <c r="X2" s="72"/>
    </row>
    <row r="3" spans="1:36" ht="15" customHeight="1" thickBot="1" x14ac:dyDescent="0.3">
      <c r="A3"/>
      <c r="B3"/>
      <c r="C3"/>
      <c r="D3" s="558" t="s">
        <v>25</v>
      </c>
      <c r="E3" s="558"/>
      <c r="F3" s="558"/>
      <c r="G3" s="558"/>
      <c r="H3"/>
      <c r="I3"/>
      <c r="J3" s="200"/>
      <c r="K3" s="200"/>
      <c r="O3" s="448"/>
      <c r="P3" s="449"/>
      <c r="Q3" s="450"/>
      <c r="R3" s="555"/>
      <c r="S3" s="556"/>
      <c r="T3" s="557"/>
    </row>
    <row r="4" spans="1:36" ht="15" customHeight="1" x14ac:dyDescent="0.25">
      <c r="A4"/>
      <c r="B4"/>
      <c r="C4" s="201"/>
      <c r="D4" s="558"/>
      <c r="E4" s="558"/>
      <c r="F4" s="558"/>
      <c r="G4" s="558"/>
      <c r="H4" s="201"/>
      <c r="I4" s="201"/>
      <c r="J4" s="559" t="s">
        <v>0</v>
      </c>
      <c r="K4" s="559"/>
      <c r="L4" s="22"/>
      <c r="Q4" s="66"/>
      <c r="X4" s="22"/>
    </row>
    <row r="5" spans="1:36" ht="15" customHeight="1" x14ac:dyDescent="0.25">
      <c r="A5"/>
      <c r="B5" s="201"/>
      <c r="C5" s="201"/>
      <c r="D5" s="558"/>
      <c r="E5" s="558"/>
      <c r="F5" s="558"/>
      <c r="G5" s="558"/>
      <c r="H5" s="201"/>
      <c r="I5" s="201"/>
      <c r="J5" s="454" t="s">
        <v>367</v>
      </c>
      <c r="K5" s="454"/>
      <c r="L5" s="66"/>
      <c r="M5" s="455" t="s">
        <v>38</v>
      </c>
      <c r="N5" s="455"/>
      <c r="O5" s="455"/>
      <c r="P5" s="455"/>
      <c r="Q5" s="455"/>
      <c r="R5" s="455"/>
      <c r="S5" s="455"/>
      <c r="T5" s="455"/>
      <c r="U5" s="455"/>
      <c r="V5" s="455"/>
      <c r="W5" s="455"/>
      <c r="X5" s="66"/>
    </row>
    <row r="6" spans="1:36" ht="15" customHeight="1" x14ac:dyDescent="0.25">
      <c r="A6"/>
      <c r="B6"/>
      <c r="C6" s="570" t="s">
        <v>127</v>
      </c>
      <c r="D6" s="570"/>
      <c r="E6" s="570"/>
      <c r="F6" s="570"/>
      <c r="G6" s="570"/>
      <c r="H6" s="570"/>
      <c r="I6" s="203"/>
      <c r="J6" s="571" t="s">
        <v>31</v>
      </c>
      <c r="K6" s="571"/>
      <c r="L6" s="73"/>
      <c r="M6" s="455" t="s">
        <v>39</v>
      </c>
      <c r="N6" s="455"/>
      <c r="O6" s="455"/>
      <c r="P6" s="455"/>
      <c r="Q6" s="455"/>
      <c r="R6" s="455"/>
      <c r="S6" s="455"/>
      <c r="T6" s="455"/>
      <c r="U6" s="455"/>
      <c r="V6" s="455"/>
      <c r="W6" s="455"/>
      <c r="X6" s="73"/>
    </row>
    <row r="7" spans="1:36" ht="15" customHeight="1" x14ac:dyDescent="0.25">
      <c r="A7"/>
      <c r="B7"/>
      <c r="C7"/>
      <c r="D7"/>
      <c r="E7"/>
      <c r="F7"/>
      <c r="G7"/>
      <c r="H7"/>
      <c r="I7"/>
      <c r="J7" s="572">
        <f>(F12+R2)/2</f>
        <v>47.5</v>
      </c>
      <c r="K7" s="572"/>
      <c r="L7" s="23"/>
      <c r="M7" s="455" t="s">
        <v>28</v>
      </c>
      <c r="N7" s="455"/>
      <c r="O7" s="455"/>
      <c r="P7" s="455"/>
      <c r="Q7" s="455"/>
      <c r="R7" s="455"/>
      <c r="S7" s="455"/>
      <c r="T7" s="455"/>
      <c r="U7" s="455"/>
      <c r="V7" s="455"/>
      <c r="W7" s="455"/>
      <c r="X7" s="23"/>
    </row>
    <row r="8" spans="1:36" ht="15" customHeight="1" x14ac:dyDescent="0.25">
      <c r="A8"/>
      <c r="B8"/>
      <c r="C8" s="573" t="s">
        <v>30</v>
      </c>
      <c r="D8" s="573"/>
      <c r="E8" s="573"/>
      <c r="F8" s="573"/>
      <c r="G8" s="573"/>
      <c r="H8" s="573"/>
      <c r="I8" s="204"/>
      <c r="J8" s="572"/>
      <c r="K8" s="572"/>
      <c r="L8" s="24"/>
      <c r="M8" s="455" t="s">
        <v>29</v>
      </c>
      <c r="N8" s="455"/>
      <c r="O8" s="455"/>
      <c r="P8" s="455"/>
      <c r="Q8" s="455"/>
      <c r="R8" s="455"/>
      <c r="S8" s="455"/>
      <c r="T8" s="455"/>
      <c r="U8" s="455"/>
      <c r="V8" s="455"/>
      <c r="W8" s="455"/>
      <c r="X8" s="24"/>
    </row>
    <row r="9" spans="1:36" ht="15" customHeight="1" x14ac:dyDescent="0.25">
      <c r="A9"/>
      <c r="B9"/>
      <c r="C9" s="573"/>
      <c r="D9" s="573"/>
      <c r="E9" s="573"/>
      <c r="F9" s="573"/>
      <c r="G9" s="573"/>
      <c r="H9" s="573"/>
      <c r="I9" s="204"/>
      <c r="J9" s="574" t="s">
        <v>108</v>
      </c>
      <c r="K9" s="574"/>
      <c r="M9" s="75"/>
      <c r="N9" s="75"/>
      <c r="O9" s="75"/>
      <c r="P9" s="75"/>
      <c r="Q9" s="75"/>
      <c r="R9" s="75"/>
      <c r="S9" s="75"/>
      <c r="T9" s="75"/>
      <c r="U9" s="75"/>
      <c r="V9" s="75"/>
      <c r="W9" s="81"/>
    </row>
    <row r="10" spans="1:36" ht="15" customHeight="1" x14ac:dyDescent="0.35">
      <c r="A10"/>
      <c r="B10"/>
      <c r="C10"/>
      <c r="D10"/>
      <c r="E10"/>
      <c r="F10"/>
      <c r="G10"/>
      <c r="H10" s="205"/>
      <c r="I10" s="205"/>
      <c r="J10" s="560">
        <v>24.17</v>
      </c>
      <c r="K10" s="561"/>
      <c r="X10" s="186"/>
      <c r="Y10" s="186"/>
      <c r="Z10" s="187"/>
      <c r="AA10" s="562" t="s">
        <v>5</v>
      </c>
      <c r="AB10" s="562"/>
      <c r="AC10" s="562"/>
      <c r="AD10" s="562"/>
      <c r="AE10" s="562"/>
      <c r="AF10" s="187"/>
      <c r="AG10" s="186"/>
    </row>
    <row r="11" spans="1:36" ht="15" customHeight="1" thickBot="1" x14ac:dyDescent="0.4">
      <c r="A11" s="563" t="s">
        <v>198</v>
      </c>
      <c r="B11" s="563"/>
      <c r="C11" s="262"/>
      <c r="D11" s="262"/>
      <c r="E11" s="262"/>
      <c r="F11" s="262"/>
      <c r="G11" s="262"/>
      <c r="H11" s="206"/>
      <c r="I11" s="206"/>
      <c r="J11" s="207"/>
      <c r="K11" s="207"/>
      <c r="X11" s="186"/>
      <c r="Y11" s="186"/>
      <c r="Z11" s="186"/>
      <c r="AA11" s="562"/>
      <c r="AB11" s="562"/>
      <c r="AC11" s="562"/>
      <c r="AD11" s="562"/>
      <c r="AE11" s="562"/>
      <c r="AF11" s="186"/>
      <c r="AG11" s="186"/>
    </row>
    <row r="12" spans="1:36" ht="15" customHeight="1" x14ac:dyDescent="0.25">
      <c r="A12" s="563"/>
      <c r="B12" s="563"/>
      <c r="C12" s="564" t="s">
        <v>248</v>
      </c>
      <c r="D12" s="564"/>
      <c r="E12" s="564"/>
      <c r="F12" s="565">
        <f>100-55</f>
        <v>45</v>
      </c>
      <c r="G12" s="566"/>
      <c r="H12" s="567"/>
      <c r="I12" s="255"/>
      <c r="J12" s="255"/>
      <c r="K12"/>
      <c r="X12" s="186"/>
      <c r="Y12" s="186"/>
      <c r="Z12" s="186"/>
      <c r="AA12" s="186"/>
      <c r="AB12" s="188"/>
      <c r="AC12" s="186"/>
      <c r="AD12" s="186"/>
      <c r="AE12" s="186"/>
      <c r="AF12" s="186"/>
      <c r="AG12" s="186"/>
    </row>
    <row r="13" spans="1:36" ht="15" customHeight="1" thickBot="1" x14ac:dyDescent="0.3">
      <c r="A13"/>
      <c r="B13"/>
      <c r="C13" s="564"/>
      <c r="D13" s="564"/>
      <c r="E13" s="564"/>
      <c r="F13" s="568"/>
      <c r="G13" s="568"/>
      <c r="H13" s="569"/>
      <c r="I13" s="255"/>
      <c r="J13" s="255"/>
      <c r="K13"/>
      <c r="L13" s="81"/>
      <c r="W13" s="182"/>
      <c r="X13" s="186"/>
      <c r="Y13" s="184">
        <v>45488.695138888892</v>
      </c>
      <c r="Z13" s="184">
        <v>45488.71875</v>
      </c>
      <c r="AA13" s="184">
        <v>45488.76666666667</v>
      </c>
      <c r="AB13" s="184">
        <v>45488.796527777777</v>
      </c>
      <c r="AC13" s="184">
        <v>45488.906944444447</v>
      </c>
      <c r="AD13" s="184">
        <v>45488.966666666667</v>
      </c>
      <c r="AE13" s="186"/>
      <c r="AF13" s="186"/>
      <c r="AG13" s="186"/>
      <c r="AI13" s="1" t="s">
        <v>329</v>
      </c>
    </row>
    <row r="14" spans="1:36" ht="15" x14ac:dyDescent="0.2">
      <c r="L14" s="81"/>
      <c r="W14" s="66"/>
      <c r="X14" s="393" t="s">
        <v>11</v>
      </c>
      <c r="Y14" s="408" t="s">
        <v>6</v>
      </c>
      <c r="Z14" s="409" t="s">
        <v>7</v>
      </c>
      <c r="AA14" s="409" t="s">
        <v>8</v>
      </c>
      <c r="AB14" s="409" t="s">
        <v>9</v>
      </c>
      <c r="AC14" s="409" t="s">
        <v>10</v>
      </c>
      <c r="AD14" s="410" t="s">
        <v>350</v>
      </c>
      <c r="AE14" s="406" t="s">
        <v>332</v>
      </c>
      <c r="AF14" s="327" t="s">
        <v>333</v>
      </c>
      <c r="AG14" s="327" t="s">
        <v>334</v>
      </c>
      <c r="AH14" s="328" t="s">
        <v>46</v>
      </c>
      <c r="AJ14" s="1" t="s">
        <v>330</v>
      </c>
    </row>
    <row r="15" spans="1:36" ht="15.75" thickBot="1" x14ac:dyDescent="0.25">
      <c r="A15" s="59" t="s">
        <v>1</v>
      </c>
      <c r="B15" s="83" t="s">
        <v>3</v>
      </c>
      <c r="C15" s="83" t="s">
        <v>4</v>
      </c>
      <c r="D15" s="83" t="s">
        <v>12</v>
      </c>
      <c r="E15" s="83" t="s">
        <v>131</v>
      </c>
      <c r="F15" s="465" t="s">
        <v>59</v>
      </c>
      <c r="G15" s="466"/>
      <c r="H15" s="194"/>
      <c r="I15" s="194"/>
      <c r="J15" s="194"/>
      <c r="K15" s="194"/>
      <c r="L15" s="81"/>
      <c r="W15" s="66"/>
      <c r="X15" s="394" t="s">
        <v>313</v>
      </c>
      <c r="Y15" s="375">
        <v>9.7222222222222224E-3</v>
      </c>
      <c r="Z15" s="335">
        <v>1.0416666666666666E-2</v>
      </c>
      <c r="AA15" s="335">
        <v>1.3194444444444444E-2</v>
      </c>
      <c r="AB15" s="335">
        <v>1.7361111111111112E-2</v>
      </c>
      <c r="AC15" s="335">
        <v>1.3888888888888888E-2</v>
      </c>
      <c r="AD15" s="336">
        <v>4.8611111111111112E-2</v>
      </c>
      <c r="AE15" s="335">
        <f t="shared" ref="AE15:AE22" si="0">AVERAGE(Y15:AD15)</f>
        <v>1.8865740740740738E-2</v>
      </c>
      <c r="AF15" s="376">
        <v>4.1666666666666664E-2</v>
      </c>
      <c r="AG15" s="376">
        <v>4.5138888888888888E-2</v>
      </c>
      <c r="AH15" s="382">
        <v>2</v>
      </c>
      <c r="AJ15" s="1" t="s">
        <v>331</v>
      </c>
    </row>
    <row r="16" spans="1:36" ht="14.25" customHeight="1" x14ac:dyDescent="0.2">
      <c r="A16" s="475" t="s">
        <v>63</v>
      </c>
      <c r="B16" s="477">
        <f>100-O65</f>
        <v>100</v>
      </c>
      <c r="C16" s="477">
        <f>100-O64</f>
        <v>100</v>
      </c>
      <c r="D16" s="479"/>
      <c r="E16" s="482">
        <f>SUM(B16:D17)-100</f>
        <v>100</v>
      </c>
      <c r="F16" s="575"/>
      <c r="G16" s="474"/>
      <c r="H16" s="126"/>
      <c r="I16" s="126"/>
      <c r="J16" s="126"/>
      <c r="K16" s="126"/>
      <c r="L16" s="81"/>
      <c r="W16" s="321"/>
      <c r="X16" s="394" t="s">
        <v>214</v>
      </c>
      <c r="Y16" s="375">
        <v>9.2361111111111116E-2</v>
      </c>
      <c r="Z16" s="407">
        <v>0.15</v>
      </c>
      <c r="AA16" s="337">
        <v>9.4444444444444442E-2</v>
      </c>
      <c r="AB16" s="338">
        <v>7.1527777777777773E-2</v>
      </c>
      <c r="AC16" s="335">
        <v>0.16666666666666666</v>
      </c>
      <c r="AD16" s="336">
        <v>9.930555555555555E-2</v>
      </c>
      <c r="AE16" s="335">
        <f t="shared" si="0"/>
        <v>0.11238425925925925</v>
      </c>
      <c r="AF16" s="376">
        <v>8.3333333333333329E-2</v>
      </c>
      <c r="AG16" s="376">
        <v>0.10416666666666667</v>
      </c>
      <c r="AH16" s="385">
        <v>0</v>
      </c>
    </row>
    <row r="17" spans="1:34" ht="15" customHeight="1" thickBot="1" x14ac:dyDescent="0.25">
      <c r="A17" s="476"/>
      <c r="B17" s="478"/>
      <c r="C17" s="478"/>
      <c r="D17" s="480"/>
      <c r="E17" s="483"/>
      <c r="F17" s="471"/>
      <c r="G17" s="472"/>
      <c r="H17" s="126"/>
      <c r="I17" s="126"/>
      <c r="J17" s="126"/>
      <c r="K17" s="126"/>
      <c r="L17" s="81"/>
      <c r="W17" s="66"/>
      <c r="X17" s="394" t="s">
        <v>213</v>
      </c>
      <c r="Y17" s="375">
        <v>7.0833333333333331E-2</v>
      </c>
      <c r="Z17" s="407">
        <v>0.19097222222222221</v>
      </c>
      <c r="AA17" s="407">
        <v>0.12152777777777778</v>
      </c>
      <c r="AB17" s="338">
        <v>5.0694444444444445E-2</v>
      </c>
      <c r="AC17" s="335">
        <v>0.12152777777777778</v>
      </c>
      <c r="AD17" s="336">
        <v>0.29305555555555557</v>
      </c>
      <c r="AE17" s="335">
        <f t="shared" si="0"/>
        <v>0.14143518518518516</v>
      </c>
      <c r="AF17" s="376">
        <v>0.1875</v>
      </c>
      <c r="AG17" s="376">
        <v>0.20833333333333334</v>
      </c>
      <c r="AH17" s="382">
        <v>2</v>
      </c>
    </row>
    <row r="18" spans="1:34" ht="14.25" customHeight="1" x14ac:dyDescent="0.2">
      <c r="A18" s="475" t="s">
        <v>53</v>
      </c>
      <c r="B18" s="477">
        <f>100-O69</f>
        <v>90</v>
      </c>
      <c r="C18" s="477">
        <f>100-O68</f>
        <v>90</v>
      </c>
      <c r="D18" s="479">
        <f>100-O70</f>
        <v>90</v>
      </c>
      <c r="E18" s="482">
        <f>SUM(B18:D19)-200</f>
        <v>70</v>
      </c>
      <c r="F18" s="511" t="s">
        <v>358</v>
      </c>
      <c r="G18" s="472"/>
      <c r="H18" s="126"/>
      <c r="I18" s="126"/>
      <c r="J18" s="126"/>
      <c r="K18" s="126"/>
      <c r="W18" s="66"/>
      <c r="X18" s="395" t="s">
        <v>215</v>
      </c>
      <c r="Y18" s="401">
        <v>0.23194444444444445</v>
      </c>
      <c r="Z18" s="341">
        <v>0.30069444444444443</v>
      </c>
      <c r="AA18" s="341">
        <v>0.2013888888888889</v>
      </c>
      <c r="AB18" s="341">
        <v>0.18819444444444444</v>
      </c>
      <c r="AC18" s="341">
        <v>0.4597222222222222</v>
      </c>
      <c r="AD18" s="342">
        <v>0.39583333333333331</v>
      </c>
      <c r="AE18" s="390">
        <f t="shared" si="0"/>
        <v>0.29629629629629628</v>
      </c>
      <c r="AF18" s="377">
        <v>0.22916666666666666</v>
      </c>
      <c r="AG18" s="377">
        <v>0.27083333333333331</v>
      </c>
      <c r="AH18" s="385">
        <v>0</v>
      </c>
    </row>
    <row r="19" spans="1:34" ht="15" customHeight="1" thickBot="1" x14ac:dyDescent="0.25">
      <c r="A19" s="476"/>
      <c r="B19" s="478"/>
      <c r="C19" s="478"/>
      <c r="D19" s="480"/>
      <c r="E19" s="483"/>
      <c r="F19" s="511" t="s">
        <v>393</v>
      </c>
      <c r="G19" s="472"/>
      <c r="H19" s="126"/>
      <c r="I19" s="126"/>
      <c r="J19" s="126"/>
      <c r="K19" s="126"/>
      <c r="L19" s="66"/>
      <c r="W19" s="66"/>
      <c r="X19" s="395" t="s">
        <v>308</v>
      </c>
      <c r="Y19" s="401">
        <v>0.43263888888888891</v>
      </c>
      <c r="Z19" s="341">
        <v>0.44027777777777777</v>
      </c>
      <c r="AA19" s="341">
        <v>0.28541666666666665</v>
      </c>
      <c r="AB19" s="341">
        <v>0.18819444444444444</v>
      </c>
      <c r="AC19" s="341">
        <v>0.5131944444444444</v>
      </c>
      <c r="AD19" s="342">
        <v>0.5131944444444444</v>
      </c>
      <c r="AE19" s="390">
        <f t="shared" si="0"/>
        <v>0.39548611111111104</v>
      </c>
      <c r="AF19" s="377">
        <v>0.29166666666666669</v>
      </c>
      <c r="AG19" s="377">
        <v>0.35416666666666669</v>
      </c>
      <c r="AH19" s="385">
        <v>0</v>
      </c>
    </row>
    <row r="20" spans="1:34" ht="15" customHeight="1" x14ac:dyDescent="0.2">
      <c r="A20" s="475" t="s">
        <v>60</v>
      </c>
      <c r="B20" s="477">
        <f>100-O73</f>
        <v>70</v>
      </c>
      <c r="C20" s="477">
        <f>100-O72</f>
        <v>80</v>
      </c>
      <c r="D20" s="479">
        <f>100-O74</f>
        <v>100</v>
      </c>
      <c r="E20" s="576">
        <f>SUM(B20:D21)-200</f>
        <v>50</v>
      </c>
      <c r="F20" s="511" t="s">
        <v>342</v>
      </c>
      <c r="G20" s="472"/>
      <c r="H20" s="126"/>
      <c r="I20" s="126"/>
      <c r="J20" s="195"/>
      <c r="K20" s="195"/>
      <c r="L20" s="66"/>
      <c r="W20" s="66"/>
      <c r="X20" s="396" t="s">
        <v>37</v>
      </c>
      <c r="Y20" s="402">
        <v>8.3333333333333329E-2</v>
      </c>
      <c r="Z20" s="343">
        <v>6.7361111111111108E-2</v>
      </c>
      <c r="AA20" s="343">
        <v>8.8888888888888892E-2</v>
      </c>
      <c r="AB20" s="343">
        <v>9.583333333333334E-2</v>
      </c>
      <c r="AC20" s="343">
        <v>7.4305555555555555E-2</v>
      </c>
      <c r="AD20" s="344">
        <v>8.819444444444445E-2</v>
      </c>
      <c r="AE20" s="391">
        <f t="shared" si="0"/>
        <v>8.2986111111111108E-2</v>
      </c>
      <c r="AF20" s="378">
        <v>8.3333333333333329E-2</v>
      </c>
      <c r="AG20" s="378">
        <v>9.375E-2</v>
      </c>
      <c r="AH20" s="382">
        <v>2</v>
      </c>
    </row>
    <row r="21" spans="1:34" ht="15" customHeight="1" thickBot="1" x14ac:dyDescent="0.25">
      <c r="A21" s="476"/>
      <c r="B21" s="478"/>
      <c r="C21" s="478"/>
      <c r="D21" s="480"/>
      <c r="E21" s="483"/>
      <c r="F21" s="511" t="s">
        <v>365</v>
      </c>
      <c r="G21" s="472"/>
      <c r="H21" s="126"/>
      <c r="I21" s="126"/>
      <c r="J21" s="126"/>
      <c r="K21" s="126"/>
      <c r="W21" s="66"/>
      <c r="X21" s="397" t="s">
        <v>17</v>
      </c>
      <c r="Y21" s="404">
        <v>2</v>
      </c>
      <c r="Z21" s="345">
        <v>2</v>
      </c>
      <c r="AA21" s="345">
        <v>3</v>
      </c>
      <c r="AB21" s="345">
        <v>2</v>
      </c>
      <c r="AC21" s="345">
        <v>2</v>
      </c>
      <c r="AD21" s="346">
        <v>2</v>
      </c>
      <c r="AE21" s="380">
        <f t="shared" si="0"/>
        <v>2.1666666666666665</v>
      </c>
      <c r="AF21" s="379"/>
      <c r="AG21" s="380"/>
      <c r="AH21" s="383"/>
    </row>
    <row r="22" spans="1:34" ht="15" customHeight="1" thickBot="1" x14ac:dyDescent="0.25">
      <c r="A22" s="484" t="s">
        <v>66</v>
      </c>
      <c r="B22" s="477">
        <f>100-O77</f>
        <v>100</v>
      </c>
      <c r="C22" s="477">
        <f>100-O76</f>
        <v>100</v>
      </c>
      <c r="D22" s="479">
        <f>100-O78</f>
        <v>100</v>
      </c>
      <c r="E22" s="576">
        <f>SUM(B22:D23)-200</f>
        <v>100</v>
      </c>
      <c r="F22" s="577"/>
      <c r="G22" s="472"/>
      <c r="H22" s="126"/>
      <c r="I22" s="126"/>
      <c r="J22" s="126"/>
      <c r="K22" s="126"/>
      <c r="L22" s="21"/>
      <c r="W22" s="165"/>
      <c r="X22" s="398" t="s">
        <v>216</v>
      </c>
      <c r="Y22" s="411">
        <v>3.8101851851851852E-2</v>
      </c>
      <c r="Z22" s="347">
        <v>3.1122685185185184E-2</v>
      </c>
      <c r="AA22" s="347">
        <v>2.0891203703703703E-2</v>
      </c>
      <c r="AB22" s="347">
        <v>1.5729166666666666E-2</v>
      </c>
      <c r="AC22" s="347">
        <v>5.6736111111111112E-2</v>
      </c>
      <c r="AD22" s="349">
        <v>2.929398148148148E-2</v>
      </c>
      <c r="AE22" s="392">
        <f t="shared" si="0"/>
        <v>3.197916666666667E-2</v>
      </c>
      <c r="AF22" s="381">
        <v>3.4722222222222224E-2</v>
      </c>
      <c r="AG22" s="381"/>
      <c r="AH22" s="384"/>
    </row>
    <row r="23" spans="1:34" ht="15" customHeight="1" thickBot="1" x14ac:dyDescent="0.25">
      <c r="A23" s="484"/>
      <c r="B23" s="485"/>
      <c r="C23" s="485"/>
      <c r="D23" s="487"/>
      <c r="E23" s="483"/>
      <c r="F23" s="471"/>
      <c r="G23" s="472"/>
      <c r="H23" s="126"/>
      <c r="I23" s="126"/>
      <c r="J23" s="126"/>
      <c r="K23" s="126"/>
      <c r="L23" s="21"/>
      <c r="W23" s="72"/>
      <c r="X23" s="186"/>
      <c r="Y23" s="186"/>
      <c r="Z23" s="186"/>
      <c r="AA23" s="186"/>
      <c r="AB23" s="186"/>
      <c r="AC23" s="186"/>
      <c r="AD23" s="186"/>
      <c r="AE23" s="186"/>
      <c r="AG23" s="89" t="s">
        <v>131</v>
      </c>
      <c r="AH23" s="352">
        <f>SUM(AH15:AH20)</f>
        <v>6</v>
      </c>
    </row>
    <row r="24" spans="1:34" ht="15" customHeight="1" thickBot="1" x14ac:dyDescent="0.25">
      <c r="A24" s="484" t="s">
        <v>269</v>
      </c>
      <c r="B24" s="477">
        <f>100-O81</f>
        <v>70</v>
      </c>
      <c r="C24" s="477">
        <f>100-O80</f>
        <v>100</v>
      </c>
      <c r="D24" s="477">
        <f>100-O82</f>
        <v>100</v>
      </c>
      <c r="E24" s="576">
        <f>SUM(B24:D25)-200</f>
        <v>70</v>
      </c>
      <c r="F24" s="471" t="s">
        <v>322</v>
      </c>
      <c r="G24" s="472"/>
      <c r="H24" s="126"/>
      <c r="I24" s="126"/>
      <c r="J24" s="126"/>
      <c r="K24" s="126"/>
      <c r="L24" s="21"/>
      <c r="M24" s="492" t="s">
        <v>211</v>
      </c>
      <c r="N24" s="492"/>
      <c r="O24" s="493"/>
      <c r="P24" s="493"/>
      <c r="Q24" s="493"/>
      <c r="R24" s="493"/>
      <c r="S24" s="493"/>
      <c r="T24" s="493"/>
      <c r="U24" s="493"/>
      <c r="V24" s="493"/>
      <c r="W24" s="493"/>
      <c r="X24" s="21"/>
    </row>
    <row r="25" spans="1:34" ht="15" customHeight="1" thickBot="1" x14ac:dyDescent="0.25">
      <c r="A25" s="484"/>
      <c r="B25" s="485"/>
      <c r="C25" s="485"/>
      <c r="D25" s="485"/>
      <c r="E25" s="483"/>
      <c r="F25" s="471"/>
      <c r="G25" s="472"/>
      <c r="H25" s="126"/>
      <c r="I25" s="126"/>
      <c r="J25" s="126"/>
      <c r="K25" s="126"/>
      <c r="L25" s="21"/>
      <c r="M25" s="492"/>
      <c r="N25" s="492"/>
      <c r="O25" s="494" t="s">
        <v>251</v>
      </c>
      <c r="P25" s="495"/>
      <c r="Q25" s="496"/>
      <c r="R25" s="500" t="s">
        <v>144</v>
      </c>
      <c r="S25" s="501"/>
      <c r="T25" s="502"/>
      <c r="X25" s="21"/>
    </row>
    <row r="26" spans="1:34" ht="15" customHeight="1" thickBot="1" x14ac:dyDescent="0.25">
      <c r="A26" s="484" t="s">
        <v>270</v>
      </c>
      <c r="B26" s="477">
        <f>100-O85</f>
        <v>90</v>
      </c>
      <c r="C26" s="477">
        <f>100-O84</f>
        <v>90</v>
      </c>
      <c r="D26" s="477">
        <f>100-O86</f>
        <v>100</v>
      </c>
      <c r="E26" s="486">
        <f>SUM(B26:D27)-200</f>
        <v>80</v>
      </c>
      <c r="F26" s="471" t="s">
        <v>394</v>
      </c>
      <c r="G26" s="472"/>
      <c r="H26" s="126"/>
      <c r="I26" s="126"/>
      <c r="J26" s="126"/>
      <c r="K26" s="126"/>
      <c r="L26" s="21"/>
      <c r="O26" s="497"/>
      <c r="P26" s="498"/>
      <c r="Q26" s="499"/>
      <c r="R26" s="503"/>
      <c r="S26" s="504"/>
      <c r="T26" s="505"/>
      <c r="X26" s="21"/>
    </row>
    <row r="27" spans="1:34" ht="24.75" customHeight="1" thickBot="1" x14ac:dyDescent="0.25">
      <c r="A27" s="484"/>
      <c r="B27" s="485"/>
      <c r="C27" s="485"/>
      <c r="D27" s="485"/>
      <c r="E27" s="481"/>
      <c r="F27" s="471" t="s">
        <v>395</v>
      </c>
      <c r="G27" s="472"/>
      <c r="H27" s="126"/>
      <c r="I27" s="126"/>
      <c r="J27" s="126"/>
      <c r="K27" s="126"/>
      <c r="L27" s="74"/>
      <c r="M27" s="74"/>
      <c r="N27" s="74"/>
      <c r="O27" s="74"/>
      <c r="P27" s="74"/>
      <c r="Q27" s="74"/>
      <c r="R27" s="74"/>
      <c r="S27" s="74"/>
      <c r="T27" s="74"/>
      <c r="U27" s="74"/>
      <c r="V27" s="74"/>
      <c r="W27" s="74"/>
      <c r="X27" s="74"/>
    </row>
    <row r="28" spans="1:34" ht="15" customHeight="1" x14ac:dyDescent="0.2">
      <c r="A28" s="475" t="s">
        <v>61</v>
      </c>
      <c r="B28" s="477">
        <f>100-O89</f>
        <v>100</v>
      </c>
      <c r="C28" s="477">
        <f>100-O88</f>
        <v>100</v>
      </c>
      <c r="D28" s="479">
        <f>100-O90</f>
        <v>100</v>
      </c>
      <c r="E28" s="482">
        <f>SUM(B28:D29)-200</f>
        <v>100</v>
      </c>
      <c r="F28" s="511"/>
      <c r="G28" s="472"/>
      <c r="H28" s="126"/>
      <c r="I28" s="126"/>
      <c r="J28" s="126"/>
      <c r="K28" s="126"/>
      <c r="L28" s="81"/>
      <c r="M28" s="506" t="s">
        <v>212</v>
      </c>
      <c r="N28" s="506"/>
      <c r="O28" s="507"/>
      <c r="P28" s="507"/>
      <c r="Q28" s="507"/>
      <c r="R28" s="507"/>
      <c r="S28" s="507"/>
      <c r="T28" s="507"/>
      <c r="U28" s="507"/>
      <c r="V28" s="507"/>
      <c r="W28" s="507"/>
      <c r="X28" s="81"/>
    </row>
    <row r="29" spans="1:34" ht="15" customHeight="1" thickBot="1" x14ac:dyDescent="0.25">
      <c r="A29" s="476"/>
      <c r="B29" s="478"/>
      <c r="C29" s="478"/>
      <c r="D29" s="480"/>
      <c r="E29" s="483"/>
      <c r="F29" s="471"/>
      <c r="G29" s="472"/>
      <c r="H29" s="126"/>
      <c r="I29" s="126"/>
      <c r="J29" s="126"/>
      <c r="K29" s="126"/>
      <c r="L29" s="25"/>
      <c r="M29" s="506"/>
      <c r="N29" s="506"/>
      <c r="X29" s="25"/>
    </row>
    <row r="30" spans="1:34" ht="15" customHeight="1" x14ac:dyDescent="0.2">
      <c r="A30" s="475" t="s">
        <v>62</v>
      </c>
      <c r="B30" s="477">
        <f>100-O93</f>
        <v>100</v>
      </c>
      <c r="C30" s="477">
        <f>100-O92</f>
        <v>80</v>
      </c>
      <c r="D30" s="479"/>
      <c r="E30" s="482">
        <f>SUM(B30:D31)-100</f>
        <v>80</v>
      </c>
      <c r="F30" s="471"/>
      <c r="G30" s="472"/>
      <c r="H30" s="126"/>
      <c r="I30" s="126"/>
      <c r="J30" s="126"/>
      <c r="K30" s="126"/>
      <c r="L30" s="25"/>
      <c r="M30" s="118"/>
      <c r="N30" s="118"/>
      <c r="X30" s="25"/>
    </row>
    <row r="31" spans="1:34" ht="15" customHeight="1" thickBot="1" x14ac:dyDescent="0.25">
      <c r="A31" s="476"/>
      <c r="B31" s="478"/>
      <c r="C31" s="478"/>
      <c r="D31" s="480"/>
      <c r="E31" s="483"/>
      <c r="F31" s="471" t="s">
        <v>396</v>
      </c>
      <c r="G31" s="472"/>
      <c r="H31" s="126"/>
      <c r="I31" s="126"/>
      <c r="J31" s="126"/>
      <c r="K31" s="126"/>
      <c r="L31" s="25"/>
      <c r="N31" s="514" t="s">
        <v>19</v>
      </c>
      <c r="O31" s="515"/>
      <c r="P31" s="516"/>
      <c r="R31" s="508" t="s">
        <v>51</v>
      </c>
      <c r="S31" s="509"/>
      <c r="T31" s="509"/>
      <c r="U31" s="509"/>
      <c r="V31" s="510"/>
      <c r="W31" s="74"/>
      <c r="X31" s="25"/>
    </row>
    <row r="32" spans="1:34" ht="15" customHeight="1" x14ac:dyDescent="0.2">
      <c r="A32" s="475" t="s">
        <v>125</v>
      </c>
      <c r="B32" s="477">
        <f>100-O97</f>
        <v>100</v>
      </c>
      <c r="C32" s="477">
        <f>100-O96</f>
        <v>100</v>
      </c>
      <c r="D32" s="479"/>
      <c r="E32" s="482">
        <f>SUM(B32:D33)-100</f>
        <v>100</v>
      </c>
      <c r="F32" s="511"/>
      <c r="G32" s="472"/>
      <c r="H32" s="126"/>
      <c r="I32" s="126"/>
      <c r="J32" s="126"/>
      <c r="K32" s="126"/>
      <c r="L32" s="25"/>
      <c r="N32" s="105" t="s">
        <v>40</v>
      </c>
      <c r="O32" s="105" t="s">
        <v>73</v>
      </c>
      <c r="P32" s="105" t="s">
        <v>121</v>
      </c>
      <c r="R32" s="512" t="s">
        <v>122</v>
      </c>
      <c r="S32" s="84" t="s">
        <v>52</v>
      </c>
      <c r="T32" s="84" t="s">
        <v>106</v>
      </c>
      <c r="U32" s="84" t="s">
        <v>62</v>
      </c>
      <c r="V32" s="84" t="s">
        <v>65</v>
      </c>
      <c r="W32" s="74"/>
    </row>
    <row r="33" spans="1:23" ht="15" customHeight="1" thickBot="1" x14ac:dyDescent="0.25">
      <c r="A33" s="476"/>
      <c r="B33" s="478"/>
      <c r="C33" s="478"/>
      <c r="D33" s="480"/>
      <c r="E33" s="483"/>
      <c r="F33" s="511"/>
      <c r="G33" s="472"/>
      <c r="H33" s="126"/>
      <c r="I33" s="126"/>
      <c r="J33" s="126"/>
      <c r="K33" s="126"/>
      <c r="L33" s="25"/>
      <c r="N33" s="61">
        <v>5</v>
      </c>
      <c r="O33" s="61">
        <v>10</v>
      </c>
      <c r="P33" s="61">
        <v>10</v>
      </c>
      <c r="R33" s="513"/>
      <c r="S33" s="116" t="s">
        <v>50</v>
      </c>
      <c r="T33" s="116" t="s">
        <v>50</v>
      </c>
      <c r="U33" s="116" t="s">
        <v>50</v>
      </c>
      <c r="V33" s="116" t="s">
        <v>50</v>
      </c>
      <c r="W33" s="74"/>
    </row>
    <row r="34" spans="1:23" ht="15" customHeight="1" x14ac:dyDescent="0.2">
      <c r="A34" s="475" t="s">
        <v>65</v>
      </c>
      <c r="B34" s="477">
        <f>100-O101</f>
        <v>100</v>
      </c>
      <c r="C34" s="477">
        <f>100-O100</f>
        <v>100</v>
      </c>
      <c r="D34" s="479"/>
      <c r="E34" s="482">
        <f>SUM(B34:D35)-100</f>
        <v>100</v>
      </c>
      <c r="F34" s="471"/>
      <c r="G34" s="472"/>
      <c r="H34" s="126"/>
      <c r="I34" s="126"/>
      <c r="J34" s="126"/>
      <c r="K34" s="126"/>
      <c r="L34" s="25"/>
      <c r="N34" s="106" t="s">
        <v>257</v>
      </c>
      <c r="O34" s="106" t="s">
        <v>55</v>
      </c>
      <c r="P34" s="106" t="s">
        <v>42</v>
      </c>
      <c r="R34" s="61">
        <v>2</v>
      </c>
      <c r="S34" s="61">
        <v>2</v>
      </c>
      <c r="T34" s="61">
        <v>1</v>
      </c>
      <c r="U34" s="61" t="s">
        <v>144</v>
      </c>
      <c r="V34" s="61">
        <v>1</v>
      </c>
      <c r="W34" s="74"/>
    </row>
    <row r="35" spans="1:23" ht="15" customHeight="1" thickBot="1" x14ac:dyDescent="0.25">
      <c r="A35" s="476"/>
      <c r="B35" s="478"/>
      <c r="C35" s="478"/>
      <c r="D35" s="480"/>
      <c r="E35" s="483"/>
      <c r="F35" s="471"/>
      <c r="G35" s="472"/>
      <c r="H35" s="126"/>
      <c r="I35" s="126"/>
      <c r="J35" s="126"/>
      <c r="K35" s="126"/>
      <c r="L35" s="74"/>
      <c r="N35" s="61">
        <v>10</v>
      </c>
      <c r="O35" s="61">
        <v>10</v>
      </c>
      <c r="P35" s="61">
        <v>10</v>
      </c>
      <c r="S35" s="94"/>
      <c r="W35" s="74"/>
    </row>
    <row r="36" spans="1:23" ht="15" customHeight="1" x14ac:dyDescent="0.2">
      <c r="A36" s="475" t="s">
        <v>249</v>
      </c>
      <c r="B36" s="477">
        <f>100-O105</f>
        <v>100</v>
      </c>
      <c r="C36" s="477">
        <f>100-O104</f>
        <v>100</v>
      </c>
      <c r="D36" s="479"/>
      <c r="E36" s="482">
        <f>SUM(B36:D37)-100</f>
        <v>100</v>
      </c>
      <c r="F36" s="471"/>
      <c r="G36" s="472"/>
      <c r="H36" s="126"/>
      <c r="I36" s="126"/>
      <c r="J36" s="126"/>
      <c r="K36" s="126"/>
      <c r="L36" s="74"/>
      <c r="N36" s="106" t="s">
        <v>43</v>
      </c>
      <c r="O36" s="106" t="s">
        <v>44</v>
      </c>
      <c r="P36" s="106" t="s">
        <v>244</v>
      </c>
      <c r="Q36" s="106" t="s">
        <v>262</v>
      </c>
      <c r="S36" s="94"/>
      <c r="W36" s="74"/>
    </row>
    <row r="37" spans="1:23" ht="15" customHeight="1" thickBot="1" x14ac:dyDescent="0.25">
      <c r="A37" s="476"/>
      <c r="B37" s="478"/>
      <c r="C37" s="478"/>
      <c r="D37" s="480"/>
      <c r="E37" s="483"/>
      <c r="F37" s="490"/>
      <c r="G37" s="491"/>
      <c r="H37" s="126"/>
      <c r="I37" s="126"/>
      <c r="J37" s="126"/>
      <c r="K37" s="126"/>
      <c r="L37" s="25"/>
      <c r="N37" s="61">
        <v>10</v>
      </c>
      <c r="O37" s="61">
        <v>10</v>
      </c>
      <c r="P37" s="61">
        <v>8</v>
      </c>
      <c r="Q37" s="61">
        <v>7</v>
      </c>
      <c r="S37" s="94"/>
      <c r="T37" s="95"/>
    </row>
    <row r="38" spans="1:23" ht="15" customHeight="1" thickBot="1" x14ac:dyDescent="0.25">
      <c r="A38" s="54" t="s">
        <v>82</v>
      </c>
      <c r="B38" s="228">
        <f>AVERAGE(B16:B37)</f>
        <v>92.727272727272734</v>
      </c>
      <c r="C38" s="228">
        <f>AVERAGE(C16:C37)</f>
        <v>94.545454545454547</v>
      </c>
      <c r="D38" s="228">
        <f>AVERAGE(D16:D37)</f>
        <v>98.333333333333329</v>
      </c>
      <c r="E38" s="30"/>
      <c r="F38" s="30"/>
      <c r="G38" s="30"/>
      <c r="H38" s="74"/>
      <c r="I38" s="74"/>
      <c r="L38" s="25"/>
      <c r="N38" s="535" t="s">
        <v>245</v>
      </c>
      <c r="O38" s="536"/>
      <c r="P38" s="537"/>
      <c r="W38" s="31"/>
    </row>
    <row r="39" spans="1:23" ht="15" customHeight="1" x14ac:dyDescent="0.2">
      <c r="A39" s="92"/>
      <c r="B39" s="107"/>
      <c r="C39" s="107"/>
      <c r="D39" s="108"/>
      <c r="E39" s="74"/>
      <c r="F39" s="74"/>
      <c r="G39" s="74"/>
      <c r="H39" s="74"/>
      <c r="I39" s="13"/>
      <c r="L39" s="25"/>
      <c r="N39" s="578">
        <f>AVERAGE(N33,O35,P35,N37,P37,N35,P33,Q37,O33,O37)*10</f>
        <v>90</v>
      </c>
      <c r="O39" s="579"/>
      <c r="P39" s="580"/>
      <c r="W39" s="14"/>
    </row>
    <row r="40" spans="1:23" ht="15" customHeight="1" x14ac:dyDescent="0.2">
      <c r="A40" s="531" t="s">
        <v>18</v>
      </c>
      <c r="B40" s="532"/>
      <c r="C40" s="533"/>
      <c r="E40" s="521" t="s">
        <v>255</v>
      </c>
      <c r="F40" s="522"/>
      <c r="G40" s="523"/>
      <c r="I40" s="164"/>
      <c r="J40" s="164"/>
      <c r="K40" s="164"/>
      <c r="L40" s="81"/>
      <c r="N40" s="581"/>
      <c r="O40" s="581"/>
      <c r="P40" s="581"/>
    </row>
    <row r="41" spans="1:23" ht="15" customHeight="1" x14ac:dyDescent="0.2">
      <c r="A41" s="115" t="s">
        <v>1</v>
      </c>
      <c r="B41" s="115" t="s">
        <v>120</v>
      </c>
      <c r="C41" s="12" t="s">
        <v>117</v>
      </c>
      <c r="E41" s="517">
        <f>S67</f>
        <v>1</v>
      </c>
      <c r="F41" s="518"/>
      <c r="G41" s="519"/>
      <c r="I41" s="66"/>
      <c r="J41" s="66"/>
      <c r="K41" s="66"/>
      <c r="L41" s="81"/>
      <c r="N41" s="520" t="s">
        <v>391</v>
      </c>
      <c r="O41" s="520"/>
      <c r="P41" s="520"/>
      <c r="Q41" s="520"/>
      <c r="R41" s="520"/>
      <c r="S41" s="520"/>
      <c r="T41" s="520"/>
      <c r="U41" s="520"/>
      <c r="V41" s="520"/>
    </row>
    <row r="42" spans="1:23" ht="15" customHeight="1" x14ac:dyDescent="0.2">
      <c r="A42" s="61" t="s">
        <v>75</v>
      </c>
      <c r="B42" s="28" t="s">
        <v>259</v>
      </c>
      <c r="C42" s="61" t="s">
        <v>144</v>
      </c>
      <c r="I42" s="96"/>
      <c r="J42" s="66"/>
      <c r="K42" s="66"/>
      <c r="N42" s="524" t="s">
        <v>392</v>
      </c>
      <c r="O42" s="524"/>
      <c r="P42" s="524"/>
      <c r="Q42" s="524"/>
      <c r="R42" s="524"/>
      <c r="S42" s="524"/>
      <c r="T42" s="524"/>
      <c r="U42" s="524"/>
      <c r="V42" s="524"/>
    </row>
    <row r="43" spans="1:23" ht="15" customHeight="1" x14ac:dyDescent="0.2">
      <c r="A43" s="61" t="s">
        <v>76</v>
      </c>
      <c r="B43" s="28" t="s">
        <v>260</v>
      </c>
      <c r="C43" s="61">
        <v>71</v>
      </c>
      <c r="E43" s="521" t="s">
        <v>256</v>
      </c>
      <c r="F43" s="522"/>
      <c r="G43" s="523"/>
      <c r="I43" s="96"/>
      <c r="J43" s="66"/>
      <c r="K43" s="66"/>
      <c r="N43" s="520" t="s">
        <v>246</v>
      </c>
      <c r="O43" s="520"/>
      <c r="P43" s="520"/>
      <c r="Q43" s="520"/>
      <c r="R43" s="520"/>
      <c r="S43" s="520"/>
      <c r="T43" s="520"/>
      <c r="U43" s="520"/>
    </row>
    <row r="44" spans="1:23" ht="15" customHeight="1" x14ac:dyDescent="0.2">
      <c r="A44" s="61" t="s">
        <v>230</v>
      </c>
      <c r="B44" s="28" t="s">
        <v>78</v>
      </c>
      <c r="C44" s="897">
        <v>66</v>
      </c>
      <c r="E44" s="517">
        <f>(S64)</f>
        <v>1</v>
      </c>
      <c r="F44" s="518"/>
      <c r="G44" s="519"/>
      <c r="I44" s="96"/>
      <c r="J44" s="66"/>
      <c r="K44" s="66"/>
      <c r="N44" s="542" t="s">
        <v>247</v>
      </c>
      <c r="O44" s="542"/>
      <c r="P44" s="542"/>
      <c r="Q44" s="542"/>
      <c r="R44" s="542"/>
      <c r="S44" s="542"/>
      <c r="T44" s="542"/>
      <c r="U44" s="542"/>
      <c r="V44" s="542"/>
    </row>
    <row r="45" spans="1:23" ht="15" customHeight="1" x14ac:dyDescent="0.2">
      <c r="A45" s="61" t="s">
        <v>66</v>
      </c>
      <c r="B45" s="28" t="s">
        <v>323</v>
      </c>
      <c r="C45" s="897">
        <v>71</v>
      </c>
      <c r="I45" s="96"/>
      <c r="J45" s="66"/>
      <c r="K45" s="66"/>
      <c r="N45" s="542"/>
      <c r="O45" s="542"/>
      <c r="P45" s="542"/>
      <c r="Q45" s="542"/>
      <c r="R45" s="542"/>
      <c r="S45" s="542"/>
      <c r="T45" s="542"/>
      <c r="U45" s="542"/>
      <c r="V45" s="542"/>
    </row>
    <row r="46" spans="1:23" ht="15" customHeight="1" x14ac:dyDescent="0.2">
      <c r="A46" s="61" t="s">
        <v>197</v>
      </c>
      <c r="B46" s="28" t="s">
        <v>78</v>
      </c>
      <c r="C46" s="442">
        <v>80</v>
      </c>
      <c r="E46" s="130" t="s">
        <v>252</v>
      </c>
      <c r="F46" s="130" t="s">
        <v>188</v>
      </c>
      <c r="G46" s="130" t="s">
        <v>126</v>
      </c>
      <c r="I46" s="96"/>
      <c r="J46" s="66"/>
      <c r="K46" s="66"/>
    </row>
    <row r="47" spans="1:23" ht="15" customHeight="1" x14ac:dyDescent="0.2">
      <c r="A47" s="61" t="s">
        <v>68</v>
      </c>
      <c r="B47" s="28" t="s">
        <v>324</v>
      </c>
      <c r="C47" s="61">
        <v>63</v>
      </c>
      <c r="E47" s="147" t="s">
        <v>229</v>
      </c>
      <c r="F47" s="147" t="s">
        <v>228</v>
      </c>
      <c r="G47" s="148" t="s">
        <v>336</v>
      </c>
      <c r="H47" s="92"/>
      <c r="I47" s="93"/>
      <c r="K47" s="72"/>
    </row>
    <row r="48" spans="1:23" ht="15" customHeight="1" x14ac:dyDescent="0.2">
      <c r="A48" s="92"/>
      <c r="B48" s="107"/>
      <c r="C48" s="107"/>
      <c r="D48" s="108"/>
      <c r="I48" s="74"/>
      <c r="N48" s="146"/>
      <c r="O48" s="146"/>
      <c r="P48" s="175"/>
      <c r="Q48" s="175"/>
      <c r="R48" s="175"/>
      <c r="S48" s="175"/>
      <c r="T48" s="175"/>
      <c r="U48" s="175"/>
      <c r="V48" s="177"/>
    </row>
    <row r="49" spans="1:24" ht="15" customHeight="1" x14ac:dyDescent="0.2">
      <c r="A49" s="92"/>
      <c r="B49" s="107"/>
      <c r="C49" s="107"/>
      <c r="D49" s="108"/>
      <c r="H49" s="74"/>
      <c r="L49" s="81"/>
      <c r="N49" s="146"/>
      <c r="O49" s="146"/>
      <c r="P49" s="175"/>
      <c r="Q49" s="175"/>
      <c r="R49" s="175"/>
      <c r="S49" s="175"/>
      <c r="T49" s="175"/>
      <c r="U49" s="175"/>
      <c r="V49" s="177"/>
    </row>
    <row r="50" spans="1:24" ht="15" customHeight="1" x14ac:dyDescent="0.2">
      <c r="A50" s="92"/>
      <c r="B50" s="107"/>
      <c r="C50" s="107"/>
      <c r="D50" s="108"/>
      <c r="E50" s="136"/>
      <c r="F50" s="136"/>
      <c r="G50" s="137"/>
      <c r="H50" s="74"/>
      <c r="L50" s="81"/>
      <c r="N50" s="146"/>
      <c r="O50" s="146"/>
      <c r="P50" s="175"/>
      <c r="Q50" s="175"/>
      <c r="R50" s="175"/>
      <c r="S50" s="175"/>
      <c r="T50" s="175"/>
      <c r="U50" s="175"/>
      <c r="V50" s="177"/>
    </row>
    <row r="51" spans="1:24" ht="15" customHeight="1" x14ac:dyDescent="0.2">
      <c r="A51" s="92"/>
      <c r="B51" s="107"/>
      <c r="C51" s="107"/>
      <c r="D51" s="108"/>
      <c r="E51" s="136"/>
      <c r="F51" s="136"/>
      <c r="G51" s="137"/>
      <c r="H51" s="74"/>
      <c r="L51" s="81"/>
      <c r="N51" s="149"/>
      <c r="O51" s="149"/>
      <c r="P51" s="149"/>
      <c r="Q51" s="149"/>
      <c r="R51" s="149"/>
      <c r="S51" s="149"/>
      <c r="T51" s="149"/>
      <c r="U51" s="149"/>
      <c r="V51" s="149"/>
    </row>
    <row r="52" spans="1:24" ht="15" customHeight="1" x14ac:dyDescent="0.2">
      <c r="A52" s="92"/>
      <c r="B52" s="107"/>
      <c r="C52" s="107"/>
      <c r="D52" s="108"/>
      <c r="E52" s="136"/>
      <c r="F52" s="136"/>
      <c r="G52" s="137"/>
      <c r="H52" s="74"/>
      <c r="L52" s="81"/>
      <c r="N52" s="176"/>
      <c r="O52" s="176"/>
      <c r="P52" s="176"/>
      <c r="Q52" s="176"/>
      <c r="R52" s="176"/>
      <c r="S52" s="176"/>
      <c r="T52" s="176"/>
      <c r="U52" s="176"/>
      <c r="V52" s="176"/>
    </row>
    <row r="53" spans="1:24" ht="15" customHeight="1" x14ac:dyDescent="0.2">
      <c r="A53" s="92"/>
      <c r="B53" s="107"/>
      <c r="C53" s="107"/>
      <c r="D53" s="108"/>
      <c r="E53" s="136"/>
      <c r="F53" s="136"/>
      <c r="G53" s="137"/>
      <c r="H53" s="74"/>
      <c r="L53" s="81"/>
      <c r="N53" s="146"/>
      <c r="O53" s="146"/>
      <c r="P53" s="153"/>
      <c r="Q53" s="153"/>
      <c r="R53" s="153"/>
      <c r="S53" s="153"/>
      <c r="T53" s="153"/>
      <c r="U53" s="153"/>
      <c r="V53" s="178"/>
    </row>
    <row r="54" spans="1:24" ht="15" customHeight="1" x14ac:dyDescent="0.2">
      <c r="A54" s="92"/>
      <c r="B54" s="107"/>
      <c r="C54" s="107"/>
      <c r="D54" s="108"/>
      <c r="E54" s="136"/>
      <c r="F54" s="136"/>
      <c r="G54" s="137"/>
      <c r="H54" s="74"/>
      <c r="L54" s="81"/>
      <c r="N54" s="179"/>
      <c r="O54" s="179"/>
      <c r="P54" s="153"/>
      <c r="Q54" s="153"/>
      <c r="R54" s="153"/>
      <c r="S54" s="153"/>
      <c r="T54" s="153"/>
      <c r="U54" s="153"/>
      <c r="V54" s="178"/>
    </row>
    <row r="55" spans="1:24" ht="15" customHeight="1" x14ac:dyDescent="0.2">
      <c r="A55" s="92"/>
      <c r="B55" s="107"/>
      <c r="C55" s="107"/>
      <c r="D55" s="108"/>
      <c r="E55" s="136"/>
      <c r="F55" s="136"/>
      <c r="G55" s="137"/>
      <c r="H55" s="74"/>
      <c r="L55" s="81"/>
      <c r="N55" s="146"/>
      <c r="O55" s="146"/>
      <c r="P55" s="153"/>
      <c r="Q55" s="153"/>
      <c r="R55" s="153"/>
      <c r="S55" s="153"/>
      <c r="T55" s="153"/>
      <c r="U55" s="153"/>
      <c r="V55" s="177"/>
    </row>
    <row r="56" spans="1:24" ht="15" customHeight="1" x14ac:dyDescent="0.2">
      <c r="A56" s="92"/>
      <c r="B56" s="107"/>
      <c r="C56" s="107"/>
      <c r="D56" s="108"/>
      <c r="E56" s="136"/>
      <c r="F56" s="136"/>
      <c r="G56" s="137"/>
      <c r="H56" s="74"/>
      <c r="L56" s="81"/>
      <c r="N56" s="149"/>
      <c r="O56" s="149"/>
      <c r="P56" s="149"/>
      <c r="Q56" s="149"/>
      <c r="R56" s="149"/>
      <c r="S56" s="149"/>
      <c r="T56" s="149"/>
      <c r="U56" s="149"/>
      <c r="V56" s="149"/>
    </row>
    <row r="57" spans="1:24" ht="15" customHeight="1" x14ac:dyDescent="0.2">
      <c r="A57" s="92"/>
      <c r="B57" s="107"/>
      <c r="C57" s="107"/>
      <c r="D57" s="108"/>
      <c r="E57" s="136"/>
      <c r="F57" s="136"/>
      <c r="G57" s="137"/>
      <c r="H57" s="74"/>
      <c r="L57" s="81"/>
      <c r="N57" s="176"/>
      <c r="O57" s="176"/>
      <c r="P57" s="176"/>
      <c r="Q57" s="176"/>
      <c r="R57" s="176"/>
      <c r="S57" s="176"/>
      <c r="T57" s="176"/>
      <c r="U57" s="176"/>
      <c r="V57" s="176"/>
    </row>
    <row r="58" spans="1:24" ht="15" customHeight="1" x14ac:dyDescent="0.2">
      <c r="A58" s="92"/>
      <c r="B58" s="107"/>
      <c r="C58" s="107"/>
      <c r="D58" s="108"/>
      <c r="E58" s="136"/>
      <c r="F58" s="136"/>
      <c r="G58" s="137"/>
      <c r="H58" s="74"/>
      <c r="L58" s="81"/>
      <c r="N58" s="146"/>
      <c r="O58" s="146"/>
      <c r="P58" s="153"/>
      <c r="Q58" s="153"/>
      <c r="R58" s="153"/>
      <c r="S58" s="153"/>
      <c r="T58" s="153"/>
      <c r="U58" s="153"/>
      <c r="V58" s="180"/>
    </row>
    <row r="59" spans="1:24" ht="15" customHeight="1" x14ac:dyDescent="0.2">
      <c r="A59" s="92"/>
      <c r="B59" s="107"/>
      <c r="C59" s="107"/>
      <c r="D59" s="108"/>
      <c r="E59" s="136"/>
      <c r="F59" s="136"/>
      <c r="G59" s="137"/>
      <c r="H59" s="74"/>
      <c r="L59" s="81"/>
      <c r="N59" s="146"/>
      <c r="O59" s="146"/>
      <c r="P59" s="153"/>
      <c r="Q59" s="153"/>
      <c r="R59" s="153"/>
      <c r="S59" s="153"/>
      <c r="T59" s="153"/>
      <c r="U59" s="153"/>
      <c r="V59" s="180"/>
    </row>
    <row r="60" spans="1:24" ht="15" customHeight="1" x14ac:dyDescent="0.2">
      <c r="A60" s="138"/>
      <c r="B60" s="139"/>
      <c r="C60" s="139"/>
      <c r="D60" s="140"/>
      <c r="E60" s="141"/>
      <c r="F60" s="141"/>
      <c r="G60" s="142"/>
      <c r="H60" s="30"/>
      <c r="I60" s="143"/>
      <c r="J60" s="143"/>
      <c r="K60" s="143"/>
      <c r="L60" s="81"/>
      <c r="N60" s="146"/>
      <c r="O60" s="146"/>
      <c r="P60" s="153"/>
      <c r="Q60" s="153"/>
      <c r="R60" s="153"/>
      <c r="S60" s="153"/>
      <c r="T60" s="153"/>
      <c r="U60" s="153"/>
      <c r="V60" s="154"/>
    </row>
    <row r="61" spans="1:24" ht="14.25" customHeight="1" x14ac:dyDescent="0.2">
      <c r="A61" s="525" t="s">
        <v>100</v>
      </c>
      <c r="B61" s="525"/>
      <c r="C61" s="525"/>
      <c r="D61" s="128"/>
      <c r="E61" s="525" t="s">
        <v>92</v>
      </c>
      <c r="F61" s="525"/>
      <c r="G61" s="525"/>
      <c r="H61" s="96"/>
      <c r="I61" s="96"/>
      <c r="J61" s="96"/>
      <c r="K61" s="96"/>
      <c r="L61" s="81"/>
      <c r="N61" s="146"/>
      <c r="O61" s="146"/>
      <c r="P61" s="149"/>
      <c r="Q61" s="149"/>
      <c r="R61" s="149"/>
      <c r="S61" s="149"/>
      <c r="T61" s="149"/>
      <c r="U61" s="149"/>
      <c r="V61" s="150"/>
    </row>
    <row r="62" spans="1:24" ht="14.25" customHeight="1" x14ac:dyDescent="0.2">
      <c r="A62" s="66" t="s">
        <v>46</v>
      </c>
      <c r="B62" s="66" t="s">
        <v>14</v>
      </c>
      <c r="C62" s="66" t="s">
        <v>13</v>
      </c>
      <c r="D62" s="128"/>
      <c r="E62" s="66" t="s">
        <v>46</v>
      </c>
      <c r="F62" s="66" t="s">
        <v>14</v>
      </c>
      <c r="G62" s="66" t="s">
        <v>13</v>
      </c>
      <c r="H62" s="96"/>
      <c r="I62" s="96"/>
      <c r="J62" s="96"/>
      <c r="K62" s="96"/>
      <c r="L62" s="144"/>
      <c r="M62" s="143"/>
      <c r="N62" s="145"/>
      <c r="O62" s="145"/>
      <c r="P62" s="145"/>
      <c r="Q62" s="145"/>
      <c r="R62" s="145"/>
      <c r="S62" s="145"/>
      <c r="T62" s="145"/>
      <c r="U62" s="145"/>
      <c r="V62" s="145"/>
      <c r="W62" s="143"/>
      <c r="X62" s="143"/>
    </row>
    <row r="63" spans="1:24" ht="14.25" customHeight="1" x14ac:dyDescent="0.2">
      <c r="A63" s="66">
        <v>10</v>
      </c>
      <c r="B63" s="66">
        <v>0</v>
      </c>
      <c r="C63" s="66">
        <f>(A63-B63)</f>
        <v>10</v>
      </c>
      <c r="D63" s="128"/>
      <c r="E63" s="66">
        <v>10</v>
      </c>
      <c r="F63" s="66">
        <v>0</v>
      </c>
      <c r="G63" s="66">
        <f>(E63-F63)</f>
        <v>10</v>
      </c>
      <c r="H63" s="96"/>
      <c r="I63" s="96"/>
      <c r="J63" s="96"/>
      <c r="K63" s="96"/>
      <c r="L63" s="96"/>
      <c r="M63" s="525" t="s">
        <v>63</v>
      </c>
      <c r="N63" s="525"/>
      <c r="O63" s="525"/>
      <c r="Q63" s="539" t="s">
        <v>47</v>
      </c>
      <c r="R63" s="540"/>
      <c r="S63" s="541"/>
      <c r="U63" s="539" t="s">
        <v>126</v>
      </c>
      <c r="V63" s="540"/>
      <c r="W63" s="541"/>
    </row>
    <row r="64" spans="1:24" ht="14.25" customHeight="1" x14ac:dyDescent="0.2">
      <c r="A64" s="92"/>
      <c r="B64" s="107"/>
      <c r="C64" s="107"/>
      <c r="D64" s="108"/>
      <c r="E64" s="136"/>
      <c r="F64" s="136"/>
      <c r="G64" s="137"/>
      <c r="H64" s="74"/>
      <c r="L64" s="96"/>
      <c r="M64" s="4" t="s">
        <v>20</v>
      </c>
      <c r="N64" s="40">
        <f>(F63)*10</f>
        <v>0</v>
      </c>
      <c r="O64" s="41">
        <f>(10*N64)/10</f>
        <v>0</v>
      </c>
      <c r="Q64" s="544">
        <v>8</v>
      </c>
      <c r="R64" s="545"/>
      <c r="S64" s="160">
        <f>Q64/8</f>
        <v>1</v>
      </c>
      <c r="U64" s="544">
        <v>2</v>
      </c>
      <c r="V64" s="545"/>
      <c r="W64" s="61">
        <f>(25*U64)</f>
        <v>50</v>
      </c>
    </row>
    <row r="65" spans="1:24" s="143" customFormat="1" ht="14.25" customHeight="1" x14ac:dyDescent="0.2">
      <c r="A65" s="525" t="s">
        <v>96</v>
      </c>
      <c r="B65" s="525"/>
      <c r="C65" s="525"/>
      <c r="D65" s="128"/>
      <c r="E65" s="525" t="s">
        <v>88</v>
      </c>
      <c r="F65" s="525"/>
      <c r="G65" s="525"/>
      <c r="H65" s="96"/>
      <c r="I65" s="525" t="s">
        <v>103</v>
      </c>
      <c r="J65" s="525"/>
      <c r="K65" s="525"/>
      <c r="L65" s="96"/>
      <c r="M65" s="4" t="s">
        <v>21</v>
      </c>
      <c r="N65" s="40">
        <f>(B63)*10</f>
        <v>0</v>
      </c>
      <c r="O65" s="41">
        <f>(10*N65)/10</f>
        <v>0</v>
      </c>
      <c r="P65" s="1"/>
      <c r="Q65" s="96"/>
      <c r="R65" s="96"/>
      <c r="S65" s="96"/>
      <c r="T65" s="1"/>
      <c r="U65" s="96"/>
      <c r="V65" s="96"/>
      <c r="W65" s="96"/>
      <c r="X65" s="1"/>
    </row>
    <row r="66" spans="1:24" ht="14.25" customHeight="1" x14ac:dyDescent="0.2">
      <c r="A66" s="66" t="s">
        <v>46</v>
      </c>
      <c r="B66" s="66" t="s">
        <v>14</v>
      </c>
      <c r="C66" s="66" t="s">
        <v>13</v>
      </c>
      <c r="D66" s="128"/>
      <c r="E66" s="66" t="s">
        <v>46</v>
      </c>
      <c r="F66" s="66" t="s">
        <v>14</v>
      </c>
      <c r="G66" s="66" t="s">
        <v>13</v>
      </c>
      <c r="H66" s="96"/>
      <c r="I66" s="66" t="s">
        <v>46</v>
      </c>
      <c r="J66" s="66" t="s">
        <v>14</v>
      </c>
      <c r="K66" s="66" t="s">
        <v>13</v>
      </c>
      <c r="L66" s="81"/>
      <c r="N66" s="50"/>
      <c r="O66" s="50"/>
      <c r="Q66" s="538" t="s">
        <v>18</v>
      </c>
      <c r="R66" s="538"/>
      <c r="S66" s="538"/>
      <c r="U66" s="539" t="s">
        <v>188</v>
      </c>
      <c r="V66" s="540"/>
      <c r="W66" s="541"/>
    </row>
    <row r="67" spans="1:24" ht="14.25" customHeight="1" x14ac:dyDescent="0.2">
      <c r="A67" s="66">
        <v>14</v>
      </c>
      <c r="B67" s="66">
        <v>1</v>
      </c>
      <c r="C67" s="66">
        <f>(A67-B67)</f>
        <v>13</v>
      </c>
      <c r="D67" s="128"/>
      <c r="E67" s="66">
        <v>13</v>
      </c>
      <c r="F67" s="66">
        <v>1</v>
      </c>
      <c r="G67" s="66">
        <f>(E67-F67)</f>
        <v>12</v>
      </c>
      <c r="H67" s="96"/>
      <c r="I67" s="66">
        <v>7</v>
      </c>
      <c r="J67" s="66">
        <v>1</v>
      </c>
      <c r="K67" s="66">
        <f>(I67-J67)</f>
        <v>6</v>
      </c>
      <c r="L67" s="96"/>
      <c r="M67" s="525" t="s">
        <v>53</v>
      </c>
      <c r="N67" s="525"/>
      <c r="O67" s="525"/>
      <c r="Q67" s="484">
        <v>5</v>
      </c>
      <c r="R67" s="484"/>
      <c r="S67" s="160">
        <f>Q67/5</f>
        <v>1</v>
      </c>
      <c r="U67" s="544">
        <v>3</v>
      </c>
      <c r="V67" s="545"/>
      <c r="W67" s="61">
        <f>(33.333333333*U67)</f>
        <v>99.999999998999996</v>
      </c>
    </row>
    <row r="68" spans="1:24" ht="14.25" customHeight="1" x14ac:dyDescent="0.2">
      <c r="A68" s="96"/>
      <c r="B68" s="96"/>
      <c r="C68" s="66"/>
      <c r="D68" s="128"/>
      <c r="E68" s="96"/>
      <c r="F68" s="96"/>
      <c r="G68" s="66"/>
      <c r="H68" s="66"/>
      <c r="I68" s="96"/>
      <c r="J68" s="96"/>
      <c r="K68" s="96"/>
      <c r="L68" s="96"/>
      <c r="M68" s="4" t="s">
        <v>20</v>
      </c>
      <c r="N68" s="40">
        <f>(F67)*10</f>
        <v>10</v>
      </c>
      <c r="O68" s="41">
        <f>(10*N68)/10</f>
        <v>10</v>
      </c>
      <c r="Q68" s="96"/>
      <c r="R68" s="96"/>
      <c r="S68" s="96"/>
      <c r="U68" s="96"/>
      <c r="V68" s="96"/>
      <c r="W68" s="96"/>
    </row>
    <row r="69" spans="1:24" ht="14.25" customHeight="1" x14ac:dyDescent="0.2">
      <c r="A69" s="525" t="s">
        <v>93</v>
      </c>
      <c r="B69" s="525"/>
      <c r="C69" s="525"/>
      <c r="D69" s="96"/>
      <c r="E69" s="525" t="s">
        <v>85</v>
      </c>
      <c r="F69" s="525"/>
      <c r="G69" s="525"/>
      <c r="H69" s="66"/>
      <c r="I69" s="525" t="s">
        <v>101</v>
      </c>
      <c r="J69" s="525"/>
      <c r="K69" s="525"/>
      <c r="L69" s="96"/>
      <c r="M69" s="4" t="s">
        <v>21</v>
      </c>
      <c r="N69" s="40">
        <f>(B67)*10</f>
        <v>10</v>
      </c>
      <c r="O69" s="41">
        <f>(10*N69)/10</f>
        <v>10</v>
      </c>
      <c r="Q69" s="538"/>
      <c r="R69" s="538"/>
      <c r="S69" s="538"/>
      <c r="U69" s="539" t="s">
        <v>189</v>
      </c>
      <c r="V69" s="540"/>
      <c r="W69" s="541"/>
    </row>
    <row r="70" spans="1:24" ht="14.25" customHeight="1" x14ac:dyDescent="0.2">
      <c r="A70" s="66" t="s">
        <v>46</v>
      </c>
      <c r="B70" s="66" t="s">
        <v>14</v>
      </c>
      <c r="C70" s="66" t="s">
        <v>13</v>
      </c>
      <c r="D70" s="66"/>
      <c r="E70" s="66" t="s">
        <v>46</v>
      </c>
      <c r="F70" s="66" t="s">
        <v>14</v>
      </c>
      <c r="G70" s="66" t="s">
        <v>13</v>
      </c>
      <c r="H70" s="66"/>
      <c r="I70" s="66" t="s">
        <v>46</v>
      </c>
      <c r="J70" s="66" t="s">
        <v>14</v>
      </c>
      <c r="K70" s="66" t="s">
        <v>13</v>
      </c>
      <c r="L70" s="96"/>
      <c r="M70" s="4" t="s">
        <v>22</v>
      </c>
      <c r="N70" s="40">
        <f>(J67+J91)*10</f>
        <v>10</v>
      </c>
      <c r="O70" s="41">
        <f>(10*N70)/10</f>
        <v>10</v>
      </c>
      <c r="Q70" s="543"/>
      <c r="R70" s="543"/>
      <c r="S70" s="543"/>
      <c r="U70" s="544">
        <v>1</v>
      </c>
      <c r="V70" s="545"/>
      <c r="W70" s="61">
        <f>(100*U70)</f>
        <v>100</v>
      </c>
    </row>
    <row r="71" spans="1:24" ht="14.25" customHeight="1" x14ac:dyDescent="0.2">
      <c r="A71" s="66">
        <v>8</v>
      </c>
      <c r="B71" s="66">
        <v>3</v>
      </c>
      <c r="C71" s="66">
        <f>(A71-B71)</f>
        <v>5</v>
      </c>
      <c r="D71" s="96"/>
      <c r="E71" s="66">
        <v>8</v>
      </c>
      <c r="F71" s="66">
        <v>2</v>
      </c>
      <c r="G71" s="66">
        <f>(E71-F71)</f>
        <v>6</v>
      </c>
      <c r="H71" s="66"/>
      <c r="I71" s="66">
        <v>7</v>
      </c>
      <c r="J71" s="66">
        <v>0</v>
      </c>
      <c r="K71" s="66">
        <f>(I71-J71)</f>
        <v>7</v>
      </c>
      <c r="L71" s="81"/>
      <c r="M71" s="525" t="s">
        <v>60</v>
      </c>
      <c r="N71" s="525"/>
      <c r="O71" s="525"/>
      <c r="U71" s="96"/>
      <c r="V71" s="96"/>
      <c r="W71" s="96"/>
    </row>
    <row r="72" spans="1:24" ht="14.25" customHeight="1" x14ac:dyDescent="0.2">
      <c r="A72" s="66"/>
      <c r="B72" s="66"/>
      <c r="C72" s="66"/>
      <c r="D72" s="127"/>
      <c r="E72" s="66"/>
      <c r="F72" s="66"/>
      <c r="G72" s="66"/>
      <c r="H72" s="66"/>
      <c r="I72" s="66"/>
      <c r="J72" s="66"/>
      <c r="K72" s="96"/>
      <c r="L72" s="81"/>
      <c r="M72" s="4" t="s">
        <v>20</v>
      </c>
      <c r="N72" s="40">
        <f>(F71)*10</f>
        <v>20</v>
      </c>
      <c r="O72" s="41">
        <f>(10*N72)/10</f>
        <v>20</v>
      </c>
      <c r="U72" s="546" t="s">
        <v>210</v>
      </c>
      <c r="V72" s="547"/>
      <c r="W72" s="548"/>
    </row>
    <row r="73" spans="1:24" ht="14.25" customHeight="1" x14ac:dyDescent="0.2">
      <c r="A73" s="525" t="s">
        <v>271</v>
      </c>
      <c r="B73" s="525"/>
      <c r="C73" s="525"/>
      <c r="E73" s="525" t="s">
        <v>288</v>
      </c>
      <c r="F73" s="525"/>
      <c r="G73" s="525"/>
      <c r="I73" s="525" t="s">
        <v>276</v>
      </c>
      <c r="J73" s="525"/>
      <c r="K73" s="525"/>
      <c r="L73" s="81"/>
      <c r="M73" s="4" t="s">
        <v>21</v>
      </c>
      <c r="N73" s="40">
        <f>(B71)*10</f>
        <v>30</v>
      </c>
      <c r="O73" s="41">
        <f>(10*N73)/10</f>
        <v>30</v>
      </c>
      <c r="U73" s="549">
        <v>3</v>
      </c>
      <c r="V73" s="550"/>
      <c r="W73" s="132">
        <f>(U73/6)*100</f>
        <v>50</v>
      </c>
    </row>
    <row r="74" spans="1:24" ht="14.25" customHeight="1" x14ac:dyDescent="0.2">
      <c r="A74" s="66" t="s">
        <v>46</v>
      </c>
      <c r="B74" s="66" t="s">
        <v>14</v>
      </c>
      <c r="C74" s="66" t="s">
        <v>13</v>
      </c>
      <c r="E74" s="66" t="s">
        <v>46</v>
      </c>
      <c r="F74" s="66" t="s">
        <v>14</v>
      </c>
      <c r="G74" s="66" t="s">
        <v>13</v>
      </c>
      <c r="I74" s="66" t="s">
        <v>46</v>
      </c>
      <c r="J74" s="66" t="s">
        <v>14</v>
      </c>
      <c r="K74" s="66" t="s">
        <v>13</v>
      </c>
      <c r="L74" s="81"/>
      <c r="M74" s="4" t="s">
        <v>22</v>
      </c>
      <c r="N74" s="40">
        <f>(J71)*10</f>
        <v>0</v>
      </c>
      <c r="O74" s="41">
        <f>(10*N74)/10</f>
        <v>0</v>
      </c>
      <c r="T74" s="31"/>
      <c r="U74" s="31"/>
      <c r="V74" s="31"/>
    </row>
    <row r="75" spans="1:24" ht="14.25" customHeight="1" x14ac:dyDescent="0.2">
      <c r="A75" s="66">
        <v>13</v>
      </c>
      <c r="B75" s="66">
        <v>0</v>
      </c>
      <c r="C75" s="66">
        <f>(A75-B75)</f>
        <v>13</v>
      </c>
      <c r="E75" s="66">
        <v>13</v>
      </c>
      <c r="F75" s="66">
        <v>0</v>
      </c>
      <c r="G75" s="66">
        <f>(E75-F75)</f>
        <v>13</v>
      </c>
      <c r="I75" s="66">
        <v>7</v>
      </c>
      <c r="J75" s="66">
        <v>0</v>
      </c>
      <c r="K75" s="66">
        <f>(I75-J75)</f>
        <v>7</v>
      </c>
      <c r="L75" s="96"/>
      <c r="M75" s="525" t="s">
        <v>66</v>
      </c>
      <c r="N75" s="525"/>
      <c r="O75" s="525"/>
    </row>
    <row r="76" spans="1:24" ht="14.25" customHeight="1" x14ac:dyDescent="0.2">
      <c r="I76" s="96"/>
      <c r="J76" s="96"/>
      <c r="K76" s="96"/>
      <c r="L76" s="96"/>
      <c r="M76" s="4" t="s">
        <v>20</v>
      </c>
      <c r="N76" s="40">
        <f>(F75)*10</f>
        <v>0</v>
      </c>
      <c r="O76" s="41">
        <f>(10*N76)/10</f>
        <v>0</v>
      </c>
    </row>
    <row r="77" spans="1:24" ht="14.25" customHeight="1" x14ac:dyDescent="0.2">
      <c r="A77" s="525" t="s">
        <v>272</v>
      </c>
      <c r="B77" s="525"/>
      <c r="C77" s="525"/>
      <c r="E77" s="525" t="s">
        <v>287</v>
      </c>
      <c r="F77" s="525"/>
      <c r="G77" s="525"/>
      <c r="I77" s="525" t="s">
        <v>277</v>
      </c>
      <c r="J77" s="525"/>
      <c r="K77" s="525"/>
      <c r="L77" s="96"/>
      <c r="M77" s="4" t="s">
        <v>21</v>
      </c>
      <c r="N77" s="40">
        <f>(B75)*10</f>
        <v>0</v>
      </c>
      <c r="O77" s="41">
        <f>(10*N77)/10</f>
        <v>0</v>
      </c>
    </row>
    <row r="78" spans="1:24" ht="14.25" customHeight="1" x14ac:dyDescent="0.2">
      <c r="A78" s="66" t="s">
        <v>46</v>
      </c>
      <c r="B78" s="66" t="s">
        <v>14</v>
      </c>
      <c r="C78" s="66" t="s">
        <v>13</v>
      </c>
      <c r="E78" s="66" t="s">
        <v>46</v>
      </c>
      <c r="F78" s="66" t="s">
        <v>14</v>
      </c>
      <c r="G78" s="66" t="s">
        <v>13</v>
      </c>
      <c r="I78" s="66" t="s">
        <v>46</v>
      </c>
      <c r="J78" s="66" t="s">
        <v>14</v>
      </c>
      <c r="K78" s="66" t="s">
        <v>13</v>
      </c>
      <c r="L78" s="96"/>
      <c r="M78" s="4" t="s">
        <v>22</v>
      </c>
      <c r="N78" s="40">
        <f>(J75)*10</f>
        <v>0</v>
      </c>
      <c r="O78" s="41">
        <f>(10*N78)/10</f>
        <v>0</v>
      </c>
      <c r="R78" s="1" t="s">
        <v>263</v>
      </c>
    </row>
    <row r="79" spans="1:24" ht="14.25" customHeight="1" x14ac:dyDescent="0.2">
      <c r="A79" s="66">
        <v>9</v>
      </c>
      <c r="B79" s="66">
        <v>3</v>
      </c>
      <c r="C79" s="66">
        <f>(A79-B79)</f>
        <v>6</v>
      </c>
      <c r="E79" s="66">
        <v>9</v>
      </c>
      <c r="F79" s="66">
        <v>0</v>
      </c>
      <c r="G79" s="66">
        <f>(E79-F79)</f>
        <v>9</v>
      </c>
      <c r="I79" s="66">
        <v>7</v>
      </c>
      <c r="J79" s="66">
        <v>0</v>
      </c>
      <c r="K79" s="66">
        <f>(I79-J79)</f>
        <v>7</v>
      </c>
      <c r="L79" s="96"/>
      <c r="M79" s="525" t="s">
        <v>269</v>
      </c>
      <c r="N79" s="525"/>
      <c r="O79" s="525"/>
      <c r="R79" s="72">
        <f>SUM(E63+E95+E67+E91+I67+6)</f>
        <v>52</v>
      </c>
      <c r="S79" s="72">
        <f>SUM(G63+G67+G91+G95+K67+5)</f>
        <v>47</v>
      </c>
    </row>
    <row r="80" spans="1:24" ht="14.25" customHeight="1" x14ac:dyDescent="0.2">
      <c r="L80" s="96"/>
      <c r="M80" s="4" t="s">
        <v>20</v>
      </c>
      <c r="N80" s="40">
        <f>(F79)*10</f>
        <v>0</v>
      </c>
      <c r="O80" s="41">
        <f>(10*N80)/10</f>
        <v>0</v>
      </c>
      <c r="R80" s="1">
        <f>100/R79</f>
        <v>1.9230769230769231</v>
      </c>
      <c r="S80" s="163">
        <f>S79*R80</f>
        <v>90.384615384615387</v>
      </c>
    </row>
    <row r="81" spans="1:24" ht="14.25" customHeight="1" x14ac:dyDescent="0.2">
      <c r="A81" s="525" t="s">
        <v>275</v>
      </c>
      <c r="B81" s="525"/>
      <c r="C81" s="525"/>
      <c r="E81" s="525" t="s">
        <v>274</v>
      </c>
      <c r="F81" s="525"/>
      <c r="G81" s="525"/>
      <c r="I81" s="525" t="s">
        <v>273</v>
      </c>
      <c r="J81" s="525"/>
      <c r="K81" s="525"/>
      <c r="L81" s="96"/>
      <c r="M81" s="4" t="s">
        <v>21</v>
      </c>
      <c r="N81" s="40">
        <f>(B79)*10</f>
        <v>30</v>
      </c>
      <c r="O81" s="41">
        <f>(10*N81)/10</f>
        <v>30</v>
      </c>
    </row>
    <row r="82" spans="1:24" ht="14.25" customHeight="1" x14ac:dyDescent="0.2">
      <c r="A82" s="66" t="s">
        <v>46</v>
      </c>
      <c r="B82" s="66" t="s">
        <v>14</v>
      </c>
      <c r="C82" s="66" t="s">
        <v>13</v>
      </c>
      <c r="E82" s="66" t="s">
        <v>46</v>
      </c>
      <c r="F82" s="66" t="s">
        <v>14</v>
      </c>
      <c r="G82" s="66" t="s">
        <v>13</v>
      </c>
      <c r="I82" s="66" t="s">
        <v>46</v>
      </c>
      <c r="J82" s="66" t="s">
        <v>14</v>
      </c>
      <c r="K82" s="66" t="s">
        <v>13</v>
      </c>
      <c r="L82" s="96"/>
      <c r="M82" s="4" t="s">
        <v>22</v>
      </c>
      <c r="N82" s="40">
        <f>(J79)*10</f>
        <v>0</v>
      </c>
      <c r="O82" s="41">
        <f>(10*N82)/10</f>
        <v>0</v>
      </c>
      <c r="R82" s="1" t="s">
        <v>264</v>
      </c>
    </row>
    <row r="83" spans="1:24" ht="14.25" customHeight="1" x14ac:dyDescent="0.2">
      <c r="A83" s="66">
        <v>11</v>
      </c>
      <c r="B83" s="66">
        <v>1</v>
      </c>
      <c r="C83" s="66">
        <f>(A83-B83)</f>
        <v>10</v>
      </c>
      <c r="E83" s="66">
        <v>11</v>
      </c>
      <c r="F83" s="66">
        <v>1</v>
      </c>
      <c r="G83" s="66">
        <f>(E83-F83)</f>
        <v>10</v>
      </c>
      <c r="I83" s="66">
        <v>7</v>
      </c>
      <c r="J83" s="66">
        <v>0</v>
      </c>
      <c r="K83" s="66">
        <f>(I83-J83)</f>
        <v>7</v>
      </c>
      <c r="L83" s="96"/>
      <c r="M83" s="525" t="s">
        <v>278</v>
      </c>
      <c r="N83" s="525"/>
      <c r="O83" s="525"/>
      <c r="R83" s="72">
        <f>SUM(E87+E71+E83+I71+I83+I87+16+6)</f>
        <v>68</v>
      </c>
      <c r="S83" s="72">
        <f>SUM(G71+G83+G87+K71+K83+K87+V34+6)</f>
        <v>50</v>
      </c>
    </row>
    <row r="84" spans="1:24" ht="14.25" customHeight="1" x14ac:dyDescent="0.2">
      <c r="L84" s="96"/>
      <c r="M84" s="4" t="s">
        <v>20</v>
      </c>
      <c r="N84" s="40">
        <f>(F83)*10</f>
        <v>10</v>
      </c>
      <c r="O84" s="41">
        <f>(10*N84)/10</f>
        <v>10</v>
      </c>
      <c r="R84" s="1">
        <f>100/R83</f>
        <v>1.4705882352941178</v>
      </c>
      <c r="S84" s="163">
        <f>S83*R84</f>
        <v>73.529411764705884</v>
      </c>
    </row>
    <row r="85" spans="1:24" ht="14.25" customHeight="1" x14ac:dyDescent="0.2">
      <c r="A85" s="525" t="s">
        <v>95</v>
      </c>
      <c r="B85" s="525"/>
      <c r="C85" s="525"/>
      <c r="E85" s="525" t="s">
        <v>87</v>
      </c>
      <c r="F85" s="525"/>
      <c r="G85" s="525"/>
      <c r="I85" s="525" t="s">
        <v>102</v>
      </c>
      <c r="J85" s="525"/>
      <c r="K85" s="525"/>
      <c r="L85" s="96"/>
      <c r="M85" s="4" t="s">
        <v>21</v>
      </c>
      <c r="N85" s="40">
        <f>(B83)*10</f>
        <v>10</v>
      </c>
      <c r="O85" s="41">
        <f>(10*N85)/10</f>
        <v>10</v>
      </c>
    </row>
    <row r="86" spans="1:24" ht="14.25" customHeight="1" x14ac:dyDescent="0.2">
      <c r="A86" s="66" t="s">
        <v>46</v>
      </c>
      <c r="B86" s="66" t="s">
        <v>14</v>
      </c>
      <c r="C86" s="66" t="s">
        <v>13</v>
      </c>
      <c r="E86" s="66" t="s">
        <v>46</v>
      </c>
      <c r="F86" s="66" t="s">
        <v>14</v>
      </c>
      <c r="G86" s="66" t="s">
        <v>13</v>
      </c>
      <c r="I86" s="66" t="s">
        <v>46</v>
      </c>
      <c r="J86" s="66" t="s">
        <v>14</v>
      </c>
      <c r="K86" s="66" t="s">
        <v>13</v>
      </c>
      <c r="L86" s="96"/>
      <c r="M86" s="4" t="s">
        <v>22</v>
      </c>
      <c r="N86" s="40">
        <f>(J83)*10</f>
        <v>0</v>
      </c>
      <c r="O86" s="41">
        <f>(10*N86)/10</f>
        <v>0</v>
      </c>
      <c r="R86" s="1" t="s">
        <v>265</v>
      </c>
    </row>
    <row r="87" spans="1:24" ht="14.25" customHeight="1" x14ac:dyDescent="0.2">
      <c r="A87" s="66">
        <v>8</v>
      </c>
      <c r="B87" s="66">
        <v>0</v>
      </c>
      <c r="C87" s="66">
        <f>(A87-B87)</f>
        <v>8</v>
      </c>
      <c r="E87" s="66">
        <v>6</v>
      </c>
      <c r="F87" s="66">
        <v>0</v>
      </c>
      <c r="G87" s="66">
        <f>(E87-F87)</f>
        <v>6</v>
      </c>
      <c r="I87" s="66">
        <v>7</v>
      </c>
      <c r="J87" s="66">
        <v>0</v>
      </c>
      <c r="K87" s="66">
        <f>(I87-J87)</f>
        <v>7</v>
      </c>
      <c r="L87" s="96"/>
      <c r="M87" s="525" t="s">
        <v>61</v>
      </c>
      <c r="N87" s="525"/>
      <c r="O87" s="525"/>
      <c r="R87" s="72">
        <f>SUM(A63+A67+A71+A83+A87+A91+A95+A99+A103+E63+E67+E71+E95+E99+E103+I67+I71+I83+I87+E91+E83+E87+6+16+6)</f>
        <v>208</v>
      </c>
      <c r="S87" s="72">
        <f>SUM(C67+C63+G83+G87+G91+C71+C83+C87+C91+C95+C99+C103+G63+G67+G71+G95+G99+K67+K71+K83+K87+G103+5+V34+6)</f>
        <v>180</v>
      </c>
    </row>
    <row r="88" spans="1:24" ht="14.25" customHeight="1" x14ac:dyDescent="0.2">
      <c r="L88" s="96"/>
      <c r="M88" s="4" t="s">
        <v>20</v>
      </c>
      <c r="N88" s="40">
        <f>(F87)*10</f>
        <v>0</v>
      </c>
      <c r="O88" s="41">
        <f>(10*N88)/10</f>
        <v>0</v>
      </c>
      <c r="R88" s="1">
        <f>100/R87</f>
        <v>0.48076923076923078</v>
      </c>
      <c r="S88" s="163">
        <f>S87*R88</f>
        <v>86.538461538461547</v>
      </c>
      <c r="T88" s="72"/>
      <c r="U88" s="72"/>
      <c r="V88" s="72"/>
    </row>
    <row r="89" spans="1:24" ht="14.25" customHeight="1" x14ac:dyDescent="0.2">
      <c r="A89" s="525" t="s">
        <v>97</v>
      </c>
      <c r="B89" s="525"/>
      <c r="C89" s="525"/>
      <c r="E89" s="525" t="s">
        <v>89</v>
      </c>
      <c r="F89" s="525"/>
      <c r="G89" s="525"/>
      <c r="I89" s="525" t="s">
        <v>326</v>
      </c>
      <c r="J89" s="525"/>
      <c r="K89" s="525"/>
      <c r="L89" s="96"/>
      <c r="M89" s="4" t="s">
        <v>21</v>
      </c>
      <c r="N89" s="40">
        <f>(B87)*10</f>
        <v>0</v>
      </c>
      <c r="O89" s="41">
        <f>(10*N89)/10</f>
        <v>0</v>
      </c>
      <c r="P89" s="72"/>
      <c r="Q89" s="72"/>
      <c r="R89" s="72"/>
      <c r="S89" s="72"/>
      <c r="T89" s="72"/>
      <c r="U89" s="72"/>
      <c r="V89" s="72"/>
      <c r="W89" s="72"/>
    </row>
    <row r="90" spans="1:24" ht="14.25" customHeight="1" x14ac:dyDescent="0.2">
      <c r="A90" s="66" t="s">
        <v>46</v>
      </c>
      <c r="B90" s="66" t="s">
        <v>14</v>
      </c>
      <c r="C90" s="66" t="s">
        <v>13</v>
      </c>
      <c r="E90" s="66" t="s">
        <v>46</v>
      </c>
      <c r="F90" s="66" t="s">
        <v>14</v>
      </c>
      <c r="G90" s="66" t="s">
        <v>13</v>
      </c>
      <c r="I90" s="66" t="s">
        <v>46</v>
      </c>
      <c r="J90" s="66" t="s">
        <v>14</v>
      </c>
      <c r="K90" s="66" t="s">
        <v>13</v>
      </c>
      <c r="L90" s="96"/>
      <c r="M90" s="4" t="s">
        <v>22</v>
      </c>
      <c r="N90" s="40">
        <f>(J87)*10</f>
        <v>0</v>
      </c>
      <c r="O90" s="41">
        <f>(10*N90)/10</f>
        <v>0</v>
      </c>
      <c r="P90" s="72"/>
      <c r="Q90" s="72"/>
      <c r="R90" s="1" t="s">
        <v>266</v>
      </c>
      <c r="S90" s="72"/>
      <c r="T90" s="72"/>
      <c r="U90" s="72"/>
      <c r="V90" s="72"/>
      <c r="W90" s="72"/>
    </row>
    <row r="91" spans="1:24" ht="14.25" customHeight="1" x14ac:dyDescent="0.2">
      <c r="A91" s="66">
        <v>13</v>
      </c>
      <c r="B91" s="66">
        <v>0</v>
      </c>
      <c r="C91" s="66">
        <f>(A91-B91)</f>
        <v>13</v>
      </c>
      <c r="E91" s="66">
        <v>12</v>
      </c>
      <c r="F91" s="66">
        <v>2</v>
      </c>
      <c r="G91" s="66">
        <f>(E91-F91)</f>
        <v>10</v>
      </c>
      <c r="I91" s="66">
        <v>7</v>
      </c>
      <c r="J91" s="66">
        <v>0</v>
      </c>
      <c r="K91" s="66">
        <f>(I91-J91)</f>
        <v>7</v>
      </c>
      <c r="L91" s="96"/>
      <c r="M91" s="525" t="s">
        <v>62</v>
      </c>
      <c r="N91" s="525"/>
      <c r="O91" s="525"/>
      <c r="P91" s="72"/>
      <c r="Q91" s="72"/>
      <c r="R91" s="72">
        <f>E99</f>
        <v>5</v>
      </c>
      <c r="S91" s="72">
        <f>G99</f>
        <v>5</v>
      </c>
      <c r="T91" s="72"/>
      <c r="U91" s="72"/>
      <c r="V91" s="72"/>
      <c r="W91" s="72"/>
    </row>
    <row r="92" spans="1:24" ht="14.25" customHeight="1" x14ac:dyDescent="0.2">
      <c r="L92" s="96"/>
      <c r="M92" s="4" t="s">
        <v>20</v>
      </c>
      <c r="N92" s="40">
        <f>(F91)*10</f>
        <v>20</v>
      </c>
      <c r="O92" s="41">
        <f>(10*N92)/10</f>
        <v>20</v>
      </c>
      <c r="P92" s="72"/>
      <c r="Q92" s="72"/>
      <c r="R92" s="72">
        <f>100/R91</f>
        <v>20</v>
      </c>
      <c r="S92" s="72">
        <f>S91*R92</f>
        <v>100</v>
      </c>
      <c r="T92" s="72"/>
      <c r="U92" s="72"/>
      <c r="V92" s="72"/>
      <c r="W92" s="72"/>
      <c r="X92" s="72"/>
    </row>
    <row r="93" spans="1:24" ht="14.25" customHeight="1" x14ac:dyDescent="0.2">
      <c r="A93" s="525" t="s">
        <v>98</v>
      </c>
      <c r="B93" s="525"/>
      <c r="C93" s="525"/>
      <c r="E93" s="525" t="s">
        <v>90</v>
      </c>
      <c r="F93" s="525"/>
      <c r="G93" s="525"/>
      <c r="L93" s="96"/>
      <c r="M93" s="4" t="s">
        <v>21</v>
      </c>
      <c r="N93" s="40">
        <f>(B91)*10</f>
        <v>0</v>
      </c>
      <c r="O93" s="41">
        <f>(10*N93)/10</f>
        <v>0</v>
      </c>
      <c r="P93" s="72"/>
      <c r="Q93" s="72"/>
      <c r="R93" s="72"/>
      <c r="S93" s="72"/>
      <c r="W93" s="72"/>
      <c r="X93" s="72"/>
    </row>
    <row r="94" spans="1:24" ht="14.25" customHeight="1" x14ac:dyDescent="0.2">
      <c r="A94" s="66" t="s">
        <v>46</v>
      </c>
      <c r="B94" s="66" t="s">
        <v>14</v>
      </c>
      <c r="C94" s="66" t="s">
        <v>13</v>
      </c>
      <c r="E94" s="66" t="s">
        <v>46</v>
      </c>
      <c r="F94" s="66" t="s">
        <v>14</v>
      </c>
      <c r="G94" s="66" t="s">
        <v>13</v>
      </c>
      <c r="L94" s="96"/>
      <c r="M94" s="66"/>
      <c r="N94" s="66"/>
      <c r="O94" s="66"/>
      <c r="X94" s="72"/>
    </row>
    <row r="95" spans="1:24" ht="14.25" customHeight="1" x14ac:dyDescent="0.2">
      <c r="A95" s="66">
        <v>6</v>
      </c>
      <c r="B95" s="66">
        <v>0</v>
      </c>
      <c r="C95" s="66">
        <f>(A95-B95)</f>
        <v>6</v>
      </c>
      <c r="E95" s="66">
        <v>4</v>
      </c>
      <c r="F95" s="66">
        <v>0</v>
      </c>
      <c r="G95" s="66">
        <f>(E95-F95)</f>
        <v>4</v>
      </c>
      <c r="L95" s="96"/>
      <c r="M95" s="525" t="s">
        <v>64</v>
      </c>
      <c r="N95" s="525"/>
      <c r="O95" s="525"/>
      <c r="X95" s="72"/>
    </row>
    <row r="96" spans="1:24" ht="14.25" customHeight="1" x14ac:dyDescent="0.2">
      <c r="C96" s="1" t="s">
        <v>134</v>
      </c>
      <c r="L96" s="96"/>
      <c r="M96" s="4" t="s">
        <v>20</v>
      </c>
      <c r="N96" s="40">
        <f>(F95)*10</f>
        <v>0</v>
      </c>
      <c r="O96" s="41">
        <f>(10*N96)/10</f>
        <v>0</v>
      </c>
      <c r="X96" s="72"/>
    </row>
    <row r="97" spans="1:15" ht="14.25" customHeight="1" x14ac:dyDescent="0.2">
      <c r="A97" s="525" t="s">
        <v>99</v>
      </c>
      <c r="B97" s="525"/>
      <c r="C97" s="525"/>
      <c r="D97" s="66"/>
      <c r="E97" s="525" t="s">
        <v>91</v>
      </c>
      <c r="F97" s="525"/>
      <c r="G97" s="525"/>
      <c r="H97" s="96"/>
      <c r="L97" s="96"/>
      <c r="M97" s="4" t="s">
        <v>21</v>
      </c>
      <c r="N97" s="40">
        <f>(B95)*10</f>
        <v>0</v>
      </c>
      <c r="O97" s="41">
        <f>(10*N97)/10</f>
        <v>0</v>
      </c>
    </row>
    <row r="98" spans="1:15" ht="14.25" customHeight="1" x14ac:dyDescent="0.2">
      <c r="A98" s="66" t="s">
        <v>46</v>
      </c>
      <c r="B98" s="66" t="s">
        <v>14</v>
      </c>
      <c r="C98" s="66" t="s">
        <v>13</v>
      </c>
      <c r="D98" s="131"/>
      <c r="E98" s="66" t="s">
        <v>46</v>
      </c>
      <c r="F98" s="66" t="s">
        <v>14</v>
      </c>
      <c r="G98" s="66" t="s">
        <v>13</v>
      </c>
      <c r="H98" s="66"/>
      <c r="L98" s="96"/>
      <c r="M98" s="66"/>
      <c r="N98" s="66"/>
      <c r="O98" s="66"/>
    </row>
    <row r="99" spans="1:15" ht="14.25" customHeight="1" x14ac:dyDescent="0.2">
      <c r="A99" s="66">
        <v>5</v>
      </c>
      <c r="B99" s="66">
        <v>0</v>
      </c>
      <c r="C99" s="66">
        <f>(A99-B99)</f>
        <v>5</v>
      </c>
      <c r="D99" s="23"/>
      <c r="E99" s="66">
        <v>5</v>
      </c>
      <c r="F99" s="66">
        <v>0</v>
      </c>
      <c r="G99" s="66">
        <f>(E99-F99)</f>
        <v>5</v>
      </c>
      <c r="H99" s="66"/>
      <c r="L99" s="96"/>
      <c r="M99" s="525" t="s">
        <v>65</v>
      </c>
      <c r="N99" s="525"/>
      <c r="O99" s="525"/>
    </row>
    <row r="100" spans="1:15" ht="14.25" customHeight="1" x14ac:dyDescent="0.2">
      <c r="A100" s="96"/>
      <c r="B100" s="96"/>
      <c r="C100" s="96"/>
      <c r="D100" s="24"/>
      <c r="E100" s="96"/>
      <c r="F100" s="96"/>
      <c r="G100" s="96"/>
      <c r="H100" s="66"/>
      <c r="L100" s="96"/>
      <c r="M100" s="4" t="s">
        <v>20</v>
      </c>
      <c r="N100" s="40">
        <f>(F99)*10</f>
        <v>0</v>
      </c>
      <c r="O100" s="41">
        <f>(10*N100)/10</f>
        <v>0</v>
      </c>
    </row>
    <row r="101" spans="1:15" ht="14.25" customHeight="1" x14ac:dyDescent="0.2">
      <c r="A101" s="525" t="s">
        <v>170</v>
      </c>
      <c r="B101" s="525"/>
      <c r="C101" s="525"/>
      <c r="D101" s="96"/>
      <c r="E101" s="525" t="s">
        <v>171</v>
      </c>
      <c r="F101" s="525"/>
      <c r="G101" s="525"/>
      <c r="H101" s="96"/>
      <c r="L101" s="96"/>
      <c r="M101" s="4" t="s">
        <v>21</v>
      </c>
      <c r="N101" s="40">
        <f>(B99)*10</f>
        <v>0</v>
      </c>
      <c r="O101" s="41">
        <f>(10*N101)/10</f>
        <v>0</v>
      </c>
    </row>
    <row r="102" spans="1:15" ht="14.25" customHeight="1" x14ac:dyDescent="0.2">
      <c r="A102" s="66" t="s">
        <v>46</v>
      </c>
      <c r="B102" s="66" t="s">
        <v>14</v>
      </c>
      <c r="C102" s="66" t="s">
        <v>13</v>
      </c>
      <c r="D102" s="96"/>
      <c r="E102" s="66" t="s">
        <v>46</v>
      </c>
      <c r="F102" s="66" t="s">
        <v>14</v>
      </c>
      <c r="G102" s="66" t="s">
        <v>13</v>
      </c>
      <c r="H102" s="96"/>
      <c r="L102" s="96"/>
      <c r="M102" s="65"/>
      <c r="N102" s="66"/>
      <c r="O102" s="67"/>
    </row>
    <row r="103" spans="1:15" ht="14.25" customHeight="1" x14ac:dyDescent="0.2">
      <c r="A103" s="66">
        <v>3</v>
      </c>
      <c r="B103" s="66">
        <v>0</v>
      </c>
      <c r="C103" s="66">
        <f>(A103-B103)</f>
        <v>3</v>
      </c>
      <c r="D103" s="96"/>
      <c r="E103" s="66">
        <v>5</v>
      </c>
      <c r="F103" s="66">
        <v>0</v>
      </c>
      <c r="G103" s="66">
        <f>(E103-F103)</f>
        <v>5</v>
      </c>
      <c r="H103" s="96"/>
      <c r="L103" s="72"/>
      <c r="M103" s="525" t="s">
        <v>45</v>
      </c>
      <c r="N103" s="525"/>
      <c r="O103" s="525"/>
    </row>
    <row r="104" spans="1:15" ht="14.25" customHeight="1" x14ac:dyDescent="0.2">
      <c r="A104" s="96"/>
      <c r="B104" s="96"/>
      <c r="C104" s="96"/>
      <c r="D104" s="128"/>
      <c r="E104" s="96"/>
      <c r="F104" s="96"/>
      <c r="G104" s="96"/>
      <c r="H104" s="96"/>
      <c r="I104" s="96"/>
      <c r="J104" s="96"/>
      <c r="K104" s="96"/>
      <c r="L104" s="72"/>
      <c r="M104" s="4" t="s">
        <v>20</v>
      </c>
      <c r="N104" s="40">
        <f>(F103)*10</f>
        <v>0</v>
      </c>
      <c r="O104" s="41">
        <f>(10*N104)/10</f>
        <v>0</v>
      </c>
    </row>
    <row r="105" spans="1:15" ht="14.25" customHeight="1" x14ac:dyDescent="0.2">
      <c r="D105" s="96"/>
      <c r="H105" s="66"/>
      <c r="I105" s="96"/>
      <c r="J105" s="96"/>
      <c r="K105" s="96"/>
      <c r="M105" s="4" t="s">
        <v>21</v>
      </c>
      <c r="N105" s="40">
        <f>(B103)*10</f>
        <v>0</v>
      </c>
      <c r="O105" s="41">
        <f>(10*N105)/10</f>
        <v>0</v>
      </c>
    </row>
    <row r="106" spans="1:15" ht="14.25" customHeight="1" x14ac:dyDescent="0.2">
      <c r="D106" s="129"/>
      <c r="H106" s="66"/>
      <c r="I106" s="96"/>
      <c r="J106" s="96"/>
      <c r="K106" s="96"/>
    </row>
    <row r="107" spans="1:15" ht="14.25" customHeight="1" x14ac:dyDescent="0.2">
      <c r="D107" s="50"/>
      <c r="H107" s="66"/>
      <c r="I107" s="96"/>
      <c r="J107" s="96"/>
      <c r="K107" s="96"/>
    </row>
    <row r="108" spans="1:15" ht="14.25" customHeight="1" x14ac:dyDescent="0.2">
      <c r="A108" s="96"/>
      <c r="B108" s="96"/>
      <c r="C108" s="96"/>
      <c r="D108" s="128"/>
      <c r="E108" s="96"/>
      <c r="F108" s="96"/>
      <c r="G108" s="96"/>
      <c r="H108" s="96"/>
      <c r="I108" s="96"/>
      <c r="J108" s="96"/>
      <c r="K108" s="96"/>
    </row>
    <row r="109" spans="1:15" ht="14.25" customHeight="1" x14ac:dyDescent="0.2">
      <c r="D109" s="128"/>
      <c r="H109" s="96"/>
      <c r="I109" s="96"/>
      <c r="J109" s="96"/>
      <c r="K109" s="96"/>
    </row>
    <row r="110" spans="1:15" ht="14.25" customHeight="1" x14ac:dyDescent="0.2">
      <c r="D110" s="128"/>
      <c r="H110" s="96"/>
      <c r="I110" s="96"/>
      <c r="J110" s="96"/>
      <c r="K110" s="96"/>
    </row>
    <row r="111" spans="1:15" ht="14.25" customHeight="1" x14ac:dyDescent="0.2">
      <c r="D111" s="128"/>
      <c r="H111" s="96"/>
      <c r="I111" s="96"/>
      <c r="J111" s="96"/>
      <c r="K111" s="96"/>
    </row>
    <row r="112" spans="1:15" ht="14.25" customHeight="1" x14ac:dyDescent="0.2">
      <c r="A112" s="96"/>
      <c r="B112" s="96"/>
      <c r="C112" s="96"/>
      <c r="D112" s="128"/>
      <c r="E112" s="96"/>
      <c r="F112" s="96"/>
      <c r="G112" s="96"/>
      <c r="H112" s="96"/>
      <c r="I112" s="96"/>
      <c r="J112" s="96"/>
      <c r="K112" s="96"/>
    </row>
    <row r="113" spans="1:24" ht="14.25" customHeight="1" x14ac:dyDescent="0.2">
      <c r="D113" s="128"/>
      <c r="H113" s="96"/>
      <c r="I113" s="96"/>
      <c r="J113" s="96"/>
      <c r="K113" s="96"/>
    </row>
    <row r="114" spans="1:24" ht="14.25" customHeight="1" x14ac:dyDescent="0.2">
      <c r="D114" s="50"/>
      <c r="H114" s="96"/>
      <c r="I114" s="96"/>
      <c r="J114" s="96"/>
      <c r="K114" s="96"/>
    </row>
    <row r="115" spans="1:24" ht="14.25" customHeight="1" x14ac:dyDescent="0.2">
      <c r="D115" s="50"/>
      <c r="H115" s="96"/>
      <c r="I115" s="96"/>
      <c r="J115" s="96"/>
      <c r="K115" s="96"/>
    </row>
    <row r="116" spans="1:24" ht="14.25" customHeight="1" x14ac:dyDescent="0.2">
      <c r="A116" s="66"/>
      <c r="B116" s="66"/>
      <c r="C116" s="66"/>
      <c r="D116" s="128"/>
      <c r="E116" s="66"/>
      <c r="F116" s="66"/>
      <c r="G116" s="66"/>
      <c r="H116" s="96"/>
      <c r="I116" s="96"/>
      <c r="J116" s="96"/>
      <c r="K116" s="96"/>
    </row>
    <row r="117" spans="1:24" ht="14.25" customHeight="1" x14ac:dyDescent="0.2">
      <c r="D117" s="128"/>
      <c r="H117" s="96"/>
      <c r="I117" s="96"/>
      <c r="J117" s="96"/>
      <c r="K117" s="96"/>
    </row>
    <row r="118" spans="1:24" ht="14.25" customHeight="1" x14ac:dyDescent="0.2">
      <c r="D118" s="128"/>
      <c r="H118" s="96"/>
      <c r="I118" s="96"/>
      <c r="J118" s="96"/>
      <c r="K118" s="96"/>
    </row>
    <row r="119" spans="1:24" ht="14.25" customHeight="1" x14ac:dyDescent="0.2">
      <c r="D119" s="128"/>
      <c r="H119" s="96"/>
      <c r="I119" s="96"/>
      <c r="J119" s="96"/>
      <c r="K119" s="96"/>
    </row>
    <row r="125" spans="1:24" s="96" customFormat="1" ht="18.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row>
    <row r="127" spans="1:24" s="96" customFormat="1" ht="18.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row>
    <row r="128" spans="1:24" s="96" customFormat="1" ht="14.2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row>
    <row r="129" spans="1:24" s="96" customForma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row>
    <row r="130" spans="1:24" s="96" customForma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row>
    <row r="131" spans="1:24" s="96" customFormat="1" ht="14.2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row>
    <row r="132" spans="1:24" s="96" customForma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row>
    <row r="133" spans="1:24" s="96" customForma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row>
    <row r="134" spans="1:24" s="96" customFormat="1" ht="1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row>
    <row r="136" spans="1:24" s="96" customFormat="1" ht="1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row>
    <row r="137" spans="1:24" s="96" customFormat="1" ht="1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row>
  </sheetData>
  <mergeCells count="174">
    <mergeCell ref="M99:O99"/>
    <mergeCell ref="A101:C101"/>
    <mergeCell ref="E101:G101"/>
    <mergeCell ref="M103:O103"/>
    <mergeCell ref="M91:O91"/>
    <mergeCell ref="A93:C93"/>
    <mergeCell ref="E93:G93"/>
    <mergeCell ref="M95:O95"/>
    <mergeCell ref="A97:C97"/>
    <mergeCell ref="E97:G97"/>
    <mergeCell ref="M83:O83"/>
    <mergeCell ref="A85:C85"/>
    <mergeCell ref="E85:G85"/>
    <mergeCell ref="I85:K85"/>
    <mergeCell ref="M87:O87"/>
    <mergeCell ref="A89:C89"/>
    <mergeCell ref="E89:G89"/>
    <mergeCell ref="M75:O75"/>
    <mergeCell ref="A77:C77"/>
    <mergeCell ref="E77:G77"/>
    <mergeCell ref="I77:K77"/>
    <mergeCell ref="M79:O79"/>
    <mergeCell ref="A81:C81"/>
    <mergeCell ref="E81:G81"/>
    <mergeCell ref="I81:K81"/>
    <mergeCell ref="I89:K89"/>
    <mergeCell ref="Q70:S70"/>
    <mergeCell ref="U70:V70"/>
    <mergeCell ref="M71:O71"/>
    <mergeCell ref="U72:W72"/>
    <mergeCell ref="A73:C73"/>
    <mergeCell ref="E73:G73"/>
    <mergeCell ref="I73:K73"/>
    <mergeCell ref="U73:V73"/>
    <mergeCell ref="M67:O67"/>
    <mergeCell ref="Q67:R67"/>
    <mergeCell ref="U67:V67"/>
    <mergeCell ref="A69:C69"/>
    <mergeCell ref="E69:G69"/>
    <mergeCell ref="I69:K69"/>
    <mergeCell ref="Q69:S69"/>
    <mergeCell ref="U69:W69"/>
    <mergeCell ref="A65:C65"/>
    <mergeCell ref="E65:G65"/>
    <mergeCell ref="I65:K65"/>
    <mergeCell ref="Q66:S66"/>
    <mergeCell ref="U66:W66"/>
    <mergeCell ref="N44:V45"/>
    <mergeCell ref="A61:C61"/>
    <mergeCell ref="E61:G61"/>
    <mergeCell ref="M63:O63"/>
    <mergeCell ref="Q63:S63"/>
    <mergeCell ref="U63:W63"/>
    <mergeCell ref="N43:U43"/>
    <mergeCell ref="N39:P39"/>
    <mergeCell ref="A40:C40"/>
    <mergeCell ref="E40:G40"/>
    <mergeCell ref="N40:P40"/>
    <mergeCell ref="Q64:R64"/>
    <mergeCell ref="U64:V64"/>
    <mergeCell ref="E41:G41"/>
    <mergeCell ref="E43:G43"/>
    <mergeCell ref="N41:V41"/>
    <mergeCell ref="N42:V42"/>
    <mergeCell ref="E44:G44"/>
    <mergeCell ref="A34:A35"/>
    <mergeCell ref="B34:B35"/>
    <mergeCell ref="C34:C35"/>
    <mergeCell ref="D34:D35"/>
    <mergeCell ref="E34:E35"/>
    <mergeCell ref="F34:G34"/>
    <mergeCell ref="N38:P38"/>
    <mergeCell ref="F35:G35"/>
    <mergeCell ref="A36:A37"/>
    <mergeCell ref="B36:B37"/>
    <mergeCell ref="C36:C37"/>
    <mergeCell ref="D36:D37"/>
    <mergeCell ref="E36:E37"/>
    <mergeCell ref="F36:G36"/>
    <mergeCell ref="F37:G37"/>
    <mergeCell ref="R31:V31"/>
    <mergeCell ref="A32:A33"/>
    <mergeCell ref="B32:B33"/>
    <mergeCell ref="C32:C33"/>
    <mergeCell ref="D32:D33"/>
    <mergeCell ref="E32:E33"/>
    <mergeCell ref="F32:G32"/>
    <mergeCell ref="R32:R33"/>
    <mergeCell ref="F31:G31"/>
    <mergeCell ref="N31:P31"/>
    <mergeCell ref="A30:A31"/>
    <mergeCell ref="B30:B31"/>
    <mergeCell ref="C30:C31"/>
    <mergeCell ref="D30:D31"/>
    <mergeCell ref="E30:E31"/>
    <mergeCell ref="F30:G30"/>
    <mergeCell ref="F33:G33"/>
    <mergeCell ref="F29:G29"/>
    <mergeCell ref="F27:G27"/>
    <mergeCell ref="M24:N25"/>
    <mergeCell ref="O24:W24"/>
    <mergeCell ref="F25:G25"/>
    <mergeCell ref="O25:Q26"/>
    <mergeCell ref="R25:T26"/>
    <mergeCell ref="A28:A29"/>
    <mergeCell ref="B28:B29"/>
    <mergeCell ref="C28:C29"/>
    <mergeCell ref="D28:D29"/>
    <mergeCell ref="E28:E29"/>
    <mergeCell ref="F28:G28"/>
    <mergeCell ref="A26:A27"/>
    <mergeCell ref="B26:B27"/>
    <mergeCell ref="C26:C27"/>
    <mergeCell ref="D26:D27"/>
    <mergeCell ref="E26:E27"/>
    <mergeCell ref="F26:G26"/>
    <mergeCell ref="M28:N29"/>
    <mergeCell ref="O28:W28"/>
    <mergeCell ref="A24:A25"/>
    <mergeCell ref="B24:B25"/>
    <mergeCell ref="C24:C25"/>
    <mergeCell ref="D24:D25"/>
    <mergeCell ref="E24:E25"/>
    <mergeCell ref="F24:G24"/>
    <mergeCell ref="F22:G22"/>
    <mergeCell ref="F23:G23"/>
    <mergeCell ref="F21:G21"/>
    <mergeCell ref="A22:A23"/>
    <mergeCell ref="B22:B23"/>
    <mergeCell ref="C22:C23"/>
    <mergeCell ref="D22:D23"/>
    <mergeCell ref="E22:E23"/>
    <mergeCell ref="A20:A21"/>
    <mergeCell ref="B20:B21"/>
    <mergeCell ref="C20:C21"/>
    <mergeCell ref="D20:D21"/>
    <mergeCell ref="E20:E21"/>
    <mergeCell ref="F20:G20"/>
    <mergeCell ref="F18:G18"/>
    <mergeCell ref="F19:G19"/>
    <mergeCell ref="F17:G17"/>
    <mergeCell ref="F16:G16"/>
    <mergeCell ref="A18:A19"/>
    <mergeCell ref="B18:B19"/>
    <mergeCell ref="C18:C19"/>
    <mergeCell ref="D18:D19"/>
    <mergeCell ref="E18:E19"/>
    <mergeCell ref="A16:A17"/>
    <mergeCell ref="B16:B17"/>
    <mergeCell ref="C16:C17"/>
    <mergeCell ref="D16:D17"/>
    <mergeCell ref="E16:E17"/>
    <mergeCell ref="AA10:AE11"/>
    <mergeCell ref="A11:B12"/>
    <mergeCell ref="C12:E13"/>
    <mergeCell ref="F12:H13"/>
    <mergeCell ref="F15:G15"/>
    <mergeCell ref="C6:H6"/>
    <mergeCell ref="J6:K6"/>
    <mergeCell ref="M6:W6"/>
    <mergeCell ref="J7:K8"/>
    <mergeCell ref="M7:W7"/>
    <mergeCell ref="C8:H9"/>
    <mergeCell ref="M8:W8"/>
    <mergeCell ref="J9:K9"/>
    <mergeCell ref="M1:N2"/>
    <mergeCell ref="J2:K2"/>
    <mergeCell ref="O2:Q3"/>
    <mergeCell ref="R2:T3"/>
    <mergeCell ref="D3:G5"/>
    <mergeCell ref="J4:K4"/>
    <mergeCell ref="J5:K5"/>
    <mergeCell ref="M5:W5"/>
    <mergeCell ref="J10:K10"/>
  </mergeCells>
  <pageMargins left="0.19685039370078741" right="0" top="0" bottom="0" header="0" footer="0"/>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64C9C-A373-44A2-945A-45576827D560}">
  <dimension ref="A1:AK137"/>
  <sheetViews>
    <sheetView topLeftCell="E29" zoomScaleNormal="100" zoomScalePageLayoutView="70" workbookViewId="0">
      <selection activeCell="M24" sqref="M24:W45"/>
    </sheetView>
  </sheetViews>
  <sheetFormatPr baseColWidth="10" defaultRowHeight="14.25" x14ac:dyDescent="0.2"/>
  <cols>
    <col min="1" max="1" width="16.7109375" style="1" customWidth="1"/>
    <col min="2" max="2" width="7.7109375" style="1" customWidth="1"/>
    <col min="3" max="3" width="9.42578125" style="1" customWidth="1"/>
    <col min="4" max="5" width="7.7109375" style="1" customWidth="1"/>
    <col min="6" max="6" width="10.42578125" style="1" customWidth="1"/>
    <col min="7" max="7" width="7" style="1" customWidth="1"/>
    <col min="8" max="8" width="8.140625" style="1" customWidth="1"/>
    <col min="9" max="9" width="6.85546875" style="1" customWidth="1"/>
    <col min="10" max="10" width="8.140625" style="1" customWidth="1"/>
    <col min="11" max="11" width="9" style="1" customWidth="1"/>
    <col min="12" max="12" width="11.140625" style="1" customWidth="1"/>
    <col min="13" max="13" width="9.5703125" style="1" customWidth="1"/>
    <col min="14" max="14" width="7.140625" style="1" bestFit="1" customWidth="1"/>
    <col min="15" max="15" width="8.85546875" style="1" bestFit="1" customWidth="1"/>
    <col min="16" max="16" width="8.7109375" style="1" bestFit="1" customWidth="1"/>
    <col min="17" max="17" width="5.85546875" style="1" bestFit="1" customWidth="1"/>
    <col min="18" max="18" width="12.28515625" style="1" customWidth="1"/>
    <col min="19" max="21" width="8.5703125" style="1" bestFit="1" customWidth="1"/>
    <col min="22" max="22" width="9.140625" style="1" customWidth="1"/>
    <col min="23" max="23" width="10.28515625" style="1" bestFit="1" customWidth="1"/>
    <col min="24" max="24" width="10.85546875" style="1" customWidth="1"/>
    <col min="25" max="25" width="10.28515625" style="1" bestFit="1" customWidth="1"/>
    <col min="26" max="30" width="15.7109375" style="1" customWidth="1"/>
    <col min="31" max="31" width="17.28515625" style="1" customWidth="1"/>
    <col min="32" max="32" width="8.140625" style="1" bestFit="1" customWidth="1"/>
    <col min="33" max="34" width="8" style="1" bestFit="1" customWidth="1"/>
    <col min="35" max="16384" width="11.42578125" style="1"/>
  </cols>
  <sheetData>
    <row r="1" spans="1:37" ht="15" customHeight="1" thickBot="1" x14ac:dyDescent="0.3">
      <c r="A1"/>
      <c r="B1"/>
      <c r="C1"/>
      <c r="D1"/>
      <c r="E1"/>
      <c r="F1"/>
      <c r="G1"/>
      <c r="H1"/>
      <c r="I1"/>
      <c r="J1"/>
      <c r="K1"/>
      <c r="L1"/>
      <c r="M1" s="601" t="s">
        <v>199</v>
      </c>
      <c r="N1" s="601"/>
      <c r="O1" s="246"/>
      <c r="P1" s="246"/>
      <c r="Q1" s="246"/>
      <c r="R1" s="246"/>
      <c r="S1" s="247"/>
      <c r="T1" s="248"/>
      <c r="U1" s="248"/>
      <c r="V1" s="248"/>
      <c r="W1" s="249"/>
    </row>
    <row r="2" spans="1:37" ht="15" customHeight="1" x14ac:dyDescent="0.25">
      <c r="A2"/>
      <c r="B2"/>
      <c r="C2"/>
      <c r="D2"/>
      <c r="E2"/>
      <c r="F2"/>
      <c r="G2"/>
      <c r="H2"/>
      <c r="I2"/>
      <c r="J2" s="551" t="s">
        <v>377</v>
      </c>
      <c r="K2" s="551"/>
      <c r="L2" s="253"/>
      <c r="M2" s="601"/>
      <c r="N2" s="601"/>
      <c r="O2" s="602" t="s">
        <v>250</v>
      </c>
      <c r="P2" s="603"/>
      <c r="Q2" s="604"/>
      <c r="R2" s="608">
        <f>(100/12*AI22)</f>
        <v>41.666666666666671</v>
      </c>
      <c r="S2" s="565"/>
      <c r="T2" s="609"/>
      <c r="U2"/>
      <c r="V2"/>
      <c r="W2"/>
      <c r="X2" s="72"/>
    </row>
    <row r="3" spans="1:37" ht="15" customHeight="1" thickBot="1" x14ac:dyDescent="0.3">
      <c r="A3"/>
      <c r="B3"/>
      <c r="C3"/>
      <c r="D3" s="558" t="s">
        <v>25</v>
      </c>
      <c r="E3" s="558"/>
      <c r="F3" s="558"/>
      <c r="G3" s="558"/>
      <c r="H3"/>
      <c r="I3"/>
      <c r="J3" s="200"/>
      <c r="K3" s="200"/>
      <c r="L3"/>
      <c r="M3"/>
      <c r="N3"/>
      <c r="O3" s="605"/>
      <c r="P3" s="606"/>
      <c r="Q3" s="607"/>
      <c r="R3" s="610"/>
      <c r="S3" s="611"/>
      <c r="T3" s="612"/>
      <c r="U3"/>
      <c r="V3"/>
      <c r="W3"/>
    </row>
    <row r="4" spans="1:37" ht="15" customHeight="1" x14ac:dyDescent="0.3">
      <c r="A4"/>
      <c r="B4"/>
      <c r="C4" s="201"/>
      <c r="D4" s="558"/>
      <c r="E4" s="558"/>
      <c r="F4" s="558"/>
      <c r="G4" s="558"/>
      <c r="H4" s="201"/>
      <c r="I4" s="201"/>
      <c r="J4" s="559" t="s">
        <v>0</v>
      </c>
      <c r="K4" s="559"/>
      <c r="L4" s="254"/>
      <c r="M4"/>
      <c r="N4"/>
      <c r="O4"/>
      <c r="P4"/>
      <c r="Q4" s="255"/>
      <c r="R4"/>
      <c r="S4"/>
      <c r="T4"/>
      <c r="U4"/>
      <c r="V4"/>
      <c r="W4"/>
      <c r="X4" s="22"/>
    </row>
    <row r="5" spans="1:37" ht="15" customHeight="1" x14ac:dyDescent="0.25">
      <c r="A5"/>
      <c r="B5" s="201"/>
      <c r="C5" s="201"/>
      <c r="D5" s="558"/>
      <c r="E5" s="558"/>
      <c r="F5" s="558"/>
      <c r="G5" s="558"/>
      <c r="H5" s="201"/>
      <c r="I5" s="201"/>
      <c r="J5" s="454" t="s">
        <v>367</v>
      </c>
      <c r="K5" s="454"/>
      <c r="L5" s="255"/>
      <c r="M5" s="596" t="s">
        <v>38</v>
      </c>
      <c r="N5" s="596"/>
      <c r="O5" s="596"/>
      <c r="P5" s="596"/>
      <c r="Q5" s="596"/>
      <c r="R5" s="596"/>
      <c r="S5" s="596"/>
      <c r="T5" s="596"/>
      <c r="U5" s="596"/>
      <c r="V5" s="596"/>
      <c r="W5" s="596"/>
      <c r="X5" s="66"/>
    </row>
    <row r="6" spans="1:37" ht="15" customHeight="1" x14ac:dyDescent="0.25">
      <c r="A6"/>
      <c r="B6"/>
      <c r="C6" s="570" t="s">
        <v>286</v>
      </c>
      <c r="D6" s="570"/>
      <c r="E6" s="570"/>
      <c r="F6" s="570"/>
      <c r="G6" s="570"/>
      <c r="H6" s="570"/>
      <c r="I6" s="203"/>
      <c r="J6" s="571" t="s">
        <v>31</v>
      </c>
      <c r="K6" s="571"/>
      <c r="L6" s="259"/>
      <c r="M6" s="596" t="s">
        <v>39</v>
      </c>
      <c r="N6" s="596"/>
      <c r="O6" s="596"/>
      <c r="P6" s="596"/>
      <c r="Q6" s="596"/>
      <c r="R6" s="596"/>
      <c r="S6" s="596"/>
      <c r="T6" s="596"/>
      <c r="U6" s="596"/>
      <c r="V6" s="596"/>
      <c r="W6" s="596"/>
      <c r="X6" s="73"/>
    </row>
    <row r="7" spans="1:37" ht="15" customHeight="1" x14ac:dyDescent="0.25">
      <c r="A7"/>
      <c r="B7"/>
      <c r="C7"/>
      <c r="D7"/>
      <c r="E7"/>
      <c r="F7"/>
      <c r="G7"/>
      <c r="H7"/>
      <c r="I7"/>
      <c r="J7" s="572">
        <f>(F12+R2)/2</f>
        <v>10.833333333333336</v>
      </c>
      <c r="K7" s="572"/>
      <c r="L7" s="260"/>
      <c r="M7" s="596" t="s">
        <v>28</v>
      </c>
      <c r="N7" s="596"/>
      <c r="O7" s="596"/>
      <c r="P7" s="596"/>
      <c r="Q7" s="596"/>
      <c r="R7" s="596"/>
      <c r="S7" s="596"/>
      <c r="T7" s="596"/>
      <c r="U7" s="596"/>
      <c r="V7" s="596"/>
      <c r="W7" s="596"/>
      <c r="X7" s="23"/>
    </row>
    <row r="8" spans="1:37" ht="15" customHeight="1" x14ac:dyDescent="0.25">
      <c r="A8"/>
      <c r="B8"/>
      <c r="C8" s="573" t="s">
        <v>30</v>
      </c>
      <c r="D8" s="573"/>
      <c r="E8" s="573"/>
      <c r="F8" s="573"/>
      <c r="G8" s="573"/>
      <c r="H8" s="573"/>
      <c r="I8" s="204"/>
      <c r="J8" s="572"/>
      <c r="K8" s="572"/>
      <c r="L8" s="261"/>
      <c r="M8" s="596" t="s">
        <v>29</v>
      </c>
      <c r="N8" s="596"/>
      <c r="O8" s="596"/>
      <c r="P8" s="596"/>
      <c r="Q8" s="596"/>
      <c r="R8" s="596"/>
      <c r="S8" s="596"/>
      <c r="T8" s="596"/>
      <c r="U8" s="596"/>
      <c r="V8" s="596"/>
      <c r="W8" s="596"/>
      <c r="X8" s="24"/>
    </row>
    <row r="9" spans="1:37" ht="15" customHeight="1" x14ac:dyDescent="0.25">
      <c r="A9"/>
      <c r="B9"/>
      <c r="C9" s="573"/>
      <c r="D9" s="573"/>
      <c r="E9" s="573"/>
      <c r="F9" s="573"/>
      <c r="G9" s="573"/>
      <c r="H9" s="573"/>
      <c r="I9" s="204"/>
      <c r="J9" s="574" t="s">
        <v>108</v>
      </c>
      <c r="K9" s="574"/>
      <c r="M9" s="75"/>
      <c r="N9" s="75"/>
      <c r="O9" s="75"/>
      <c r="P9" s="75"/>
      <c r="Q9" s="75"/>
      <c r="R9" s="75"/>
      <c r="S9" s="75"/>
      <c r="T9" s="75"/>
      <c r="U9" s="75"/>
      <c r="V9" s="75"/>
      <c r="W9" s="81"/>
      <c r="Z9" s="186"/>
      <c r="AA9" s="186"/>
      <c r="AB9" s="186"/>
      <c r="AC9" s="186"/>
      <c r="AD9" s="186"/>
    </row>
    <row r="10" spans="1:37" ht="15" customHeight="1" x14ac:dyDescent="0.35">
      <c r="A10"/>
      <c r="B10"/>
      <c r="C10"/>
      <c r="D10"/>
      <c r="E10"/>
      <c r="F10"/>
      <c r="G10"/>
      <c r="H10" s="205"/>
      <c r="I10" s="205"/>
      <c r="J10" s="560">
        <v>2.5</v>
      </c>
      <c r="K10" s="561"/>
      <c r="Y10" s="350"/>
      <c r="Z10" s="573" t="s">
        <v>5</v>
      </c>
      <c r="AA10" s="573"/>
      <c r="AB10" s="573"/>
      <c r="AC10" s="573"/>
      <c r="AD10" s="573"/>
      <c r="AE10" s="350"/>
      <c r="AF10" s="350"/>
      <c r="AG10" s="436"/>
      <c r="AH10" s="350"/>
      <c r="AI10"/>
    </row>
    <row r="11" spans="1:37" ht="15" customHeight="1" thickBot="1" x14ac:dyDescent="0.4">
      <c r="A11" s="563" t="s">
        <v>198</v>
      </c>
      <c r="B11" s="563"/>
      <c r="C11" s="262"/>
      <c r="D11" s="262"/>
      <c r="E11" s="262"/>
      <c r="F11" s="262"/>
      <c r="G11" s="262"/>
      <c r="H11" s="206"/>
      <c r="I11" s="206"/>
      <c r="J11" s="207"/>
      <c r="K11" s="207"/>
      <c r="Y11" s="350"/>
      <c r="Z11" s="573"/>
      <c r="AA11" s="573"/>
      <c r="AB11" s="573"/>
      <c r="AC11" s="573"/>
      <c r="AD11" s="573"/>
      <c r="AE11" s="350"/>
      <c r="AF11" s="350"/>
      <c r="AG11" s="350"/>
      <c r="AH11" s="350"/>
      <c r="AI11"/>
    </row>
    <row r="12" spans="1:37" ht="24" customHeight="1" thickBot="1" x14ac:dyDescent="0.3">
      <c r="A12" s="563"/>
      <c r="B12" s="563"/>
      <c r="C12" s="564" t="s">
        <v>248</v>
      </c>
      <c r="D12" s="564"/>
      <c r="E12" s="564"/>
      <c r="F12" s="613">
        <f>100-120</f>
        <v>-20</v>
      </c>
      <c r="G12" s="614"/>
      <c r="H12" s="615"/>
      <c r="I12" s="255"/>
      <c r="J12" s="255"/>
      <c r="K12"/>
      <c r="Y12" s="350"/>
      <c r="Z12" s="437">
        <v>45488.558333333334</v>
      </c>
      <c r="AA12" s="437">
        <v>45488.574305555558</v>
      </c>
      <c r="AB12" s="437">
        <v>45488.73333333333</v>
      </c>
      <c r="AC12" s="437">
        <v>45488.745138888888</v>
      </c>
      <c r="AD12" s="438">
        <v>45488.9</v>
      </c>
      <c r="AE12" s="438">
        <v>45488.904861111114</v>
      </c>
      <c r="AF12" s="350"/>
      <c r="AG12" s="350"/>
      <c r="AH12" s="350"/>
      <c r="AI12"/>
    </row>
    <row r="13" spans="1:37" ht="22.5" customHeight="1" thickBot="1" x14ac:dyDescent="0.3">
      <c r="A13"/>
      <c r="B13"/>
      <c r="C13" s="564"/>
      <c r="D13" s="564"/>
      <c r="E13" s="564"/>
      <c r="F13" s="616"/>
      <c r="G13" s="616"/>
      <c r="H13" s="617"/>
      <c r="I13" s="255"/>
      <c r="J13" s="255"/>
      <c r="K13"/>
      <c r="L13" s="81"/>
      <c r="W13" s="182"/>
      <c r="X13" s="81"/>
      <c r="Y13" s="393" t="s">
        <v>11</v>
      </c>
      <c r="Z13" s="400" t="s">
        <v>6</v>
      </c>
      <c r="AA13" s="333" t="s">
        <v>7</v>
      </c>
      <c r="AB13" s="333" t="s">
        <v>8</v>
      </c>
      <c r="AC13" s="333" t="s">
        <v>9</v>
      </c>
      <c r="AD13" s="333" t="s">
        <v>10</v>
      </c>
      <c r="AE13" s="334" t="s">
        <v>350</v>
      </c>
      <c r="AF13" s="399" t="s">
        <v>332</v>
      </c>
      <c r="AG13" s="386" t="s">
        <v>333</v>
      </c>
      <c r="AH13" s="386" t="s">
        <v>334</v>
      </c>
      <c r="AI13" s="387" t="s">
        <v>46</v>
      </c>
      <c r="AK13" s="1" t="s">
        <v>329</v>
      </c>
    </row>
    <row r="14" spans="1:37" ht="15" x14ac:dyDescent="0.25">
      <c r="A14"/>
      <c r="B14"/>
      <c r="C14"/>
      <c r="D14"/>
      <c r="E14"/>
      <c r="F14"/>
      <c r="G14"/>
      <c r="H14"/>
      <c r="I14"/>
      <c r="J14"/>
      <c r="K14"/>
      <c r="L14" s="81"/>
      <c r="W14" s="66"/>
      <c r="X14" s="81"/>
      <c r="Y14" s="394" t="s">
        <v>313</v>
      </c>
      <c r="Z14" s="375">
        <v>1.8055555555555554E-2</v>
      </c>
      <c r="AA14" s="338">
        <v>2.2222222222222223E-2</v>
      </c>
      <c r="AB14" s="338">
        <v>2.0833333333333332E-2</v>
      </c>
      <c r="AC14" s="338">
        <v>1.4583333333333334E-2</v>
      </c>
      <c r="AD14" s="338">
        <v>1.3194444444444444E-2</v>
      </c>
      <c r="AE14" s="340">
        <v>6.3194444444444442E-2</v>
      </c>
      <c r="AF14" s="335">
        <f t="shared" ref="AF14:AF21" si="0">AVERAGE(Z14:AE14)</f>
        <v>2.5347222222222219E-2</v>
      </c>
      <c r="AG14" s="376">
        <v>4.1666666666666664E-2</v>
      </c>
      <c r="AH14" s="376">
        <v>4.5138888888888888E-2</v>
      </c>
      <c r="AI14" s="382">
        <v>2</v>
      </c>
      <c r="AK14" s="1" t="s">
        <v>330</v>
      </c>
    </row>
    <row r="15" spans="1:37" ht="15.75" thickBot="1" x14ac:dyDescent="0.25">
      <c r="A15" s="208" t="s">
        <v>1</v>
      </c>
      <c r="B15" s="209" t="s">
        <v>3</v>
      </c>
      <c r="C15" s="209" t="s">
        <v>4</v>
      </c>
      <c r="D15" s="209" t="s">
        <v>12</v>
      </c>
      <c r="E15" s="209" t="s">
        <v>131</v>
      </c>
      <c r="F15" s="599" t="s">
        <v>59</v>
      </c>
      <c r="G15" s="600"/>
      <c r="H15" s="227"/>
      <c r="I15" s="227"/>
      <c r="J15" s="227"/>
      <c r="K15" s="227"/>
      <c r="L15" s="81"/>
      <c r="W15" s="66"/>
      <c r="X15" s="81"/>
      <c r="Y15" s="394" t="s">
        <v>214</v>
      </c>
      <c r="Z15" s="375">
        <v>0.24097222222222223</v>
      </c>
      <c r="AA15" s="337">
        <v>0.39166666666666666</v>
      </c>
      <c r="AB15" s="338">
        <v>7.0833333333333331E-2</v>
      </c>
      <c r="AC15" s="338">
        <v>8.6805555555555552E-2</v>
      </c>
      <c r="AD15" s="337">
        <v>9.5138888888888884E-2</v>
      </c>
      <c r="AE15" s="339">
        <v>0.20277777777777778</v>
      </c>
      <c r="AF15" s="335">
        <f t="shared" si="0"/>
        <v>0.18136574074074074</v>
      </c>
      <c r="AG15" s="376">
        <v>8.3333333333333329E-2</v>
      </c>
      <c r="AH15" s="376">
        <v>0.10416666666666667</v>
      </c>
      <c r="AI15" s="385">
        <v>0</v>
      </c>
      <c r="AK15" s="1" t="s">
        <v>331</v>
      </c>
    </row>
    <row r="16" spans="1:37" ht="14.25" customHeight="1" x14ac:dyDescent="0.2">
      <c r="A16" s="618" t="s">
        <v>63</v>
      </c>
      <c r="B16" s="620">
        <f>100-O65</f>
        <v>100</v>
      </c>
      <c r="C16" s="620">
        <f>100-O64</f>
        <v>100</v>
      </c>
      <c r="D16" s="622"/>
      <c r="E16" s="624">
        <f>SUM(B16:D17)-100</f>
        <v>100</v>
      </c>
      <c r="F16" s="626"/>
      <c r="G16" s="627"/>
      <c r="H16" s="267"/>
      <c r="I16" s="267"/>
      <c r="J16" s="267"/>
      <c r="K16" s="267"/>
      <c r="L16" s="81"/>
      <c r="W16" s="66"/>
      <c r="X16" s="81"/>
      <c r="Y16" s="394" t="s">
        <v>213</v>
      </c>
      <c r="Z16" s="375">
        <v>0.29236111111111113</v>
      </c>
      <c r="AA16" s="338">
        <v>0.21249999999999999</v>
      </c>
      <c r="AB16" s="338">
        <v>0.11527777777777778</v>
      </c>
      <c r="AC16" s="338">
        <v>0.16944444444444445</v>
      </c>
      <c r="AD16" s="338">
        <v>0.12291666666666666</v>
      </c>
      <c r="AE16" s="340">
        <v>0.28472222222222221</v>
      </c>
      <c r="AF16" s="335">
        <f t="shared" si="0"/>
        <v>0.19953703703703704</v>
      </c>
      <c r="AG16" s="376">
        <v>0.1875</v>
      </c>
      <c r="AH16" s="376">
        <v>0.20833333333333334</v>
      </c>
      <c r="AI16" s="898">
        <v>1</v>
      </c>
    </row>
    <row r="17" spans="1:35" ht="15" customHeight="1" thickBot="1" x14ac:dyDescent="0.25">
      <c r="A17" s="619"/>
      <c r="B17" s="621"/>
      <c r="C17" s="621"/>
      <c r="D17" s="623"/>
      <c r="E17" s="625"/>
      <c r="F17" s="597"/>
      <c r="G17" s="598"/>
      <c r="H17" s="267"/>
      <c r="I17" s="267"/>
      <c r="J17" s="267"/>
      <c r="K17" s="267"/>
      <c r="L17" s="81"/>
      <c r="W17" s="66"/>
      <c r="X17" s="81"/>
      <c r="Y17" s="395" t="s">
        <v>215</v>
      </c>
      <c r="Z17" s="401">
        <v>0.45416666666666666</v>
      </c>
      <c r="AA17" s="341">
        <v>0.55347222222222225</v>
      </c>
      <c r="AB17" s="341">
        <v>0.26874999999999999</v>
      </c>
      <c r="AC17" s="341">
        <v>0.28263888888888888</v>
      </c>
      <c r="AD17" s="341">
        <v>0.26180555555555557</v>
      </c>
      <c r="AE17" s="342">
        <v>0.45277777777777778</v>
      </c>
      <c r="AF17" s="390">
        <f t="shared" si="0"/>
        <v>0.37893518518518521</v>
      </c>
      <c r="AG17" s="377">
        <v>0.22916666666666666</v>
      </c>
      <c r="AH17" s="377">
        <v>0.27083333333333331</v>
      </c>
      <c r="AI17" s="385">
        <v>0</v>
      </c>
    </row>
    <row r="18" spans="1:35" ht="14.25" customHeight="1" x14ac:dyDescent="0.2">
      <c r="A18" s="618" t="s">
        <v>53</v>
      </c>
      <c r="B18" s="620">
        <f>100-O69</f>
        <v>70</v>
      </c>
      <c r="C18" s="620">
        <f>100-O68</f>
        <v>50</v>
      </c>
      <c r="D18" s="622">
        <f>100-O70</f>
        <v>100</v>
      </c>
      <c r="E18" s="624">
        <f>SUM(B18:D19)-200</f>
        <v>20</v>
      </c>
      <c r="F18" s="597" t="s">
        <v>368</v>
      </c>
      <c r="G18" s="598"/>
      <c r="H18" s="267"/>
      <c r="I18" s="267"/>
      <c r="J18" s="267"/>
      <c r="K18" s="267"/>
      <c r="W18" s="66"/>
      <c r="Y18" s="395" t="s">
        <v>308</v>
      </c>
      <c r="Z18" s="401">
        <v>0.5493055555555556</v>
      </c>
      <c r="AA18" s="341">
        <v>0.92222222222222228</v>
      </c>
      <c r="AB18" s="341">
        <v>0.4284722222222222</v>
      </c>
      <c r="AC18" s="341">
        <v>0.28263888888888888</v>
      </c>
      <c r="AD18" s="341">
        <v>0.46111111111111114</v>
      </c>
      <c r="AE18" s="342">
        <v>0.52222222222222225</v>
      </c>
      <c r="AF18" s="390">
        <f t="shared" si="0"/>
        <v>0.52766203703703696</v>
      </c>
      <c r="AG18" s="377">
        <v>0.29166666666666669</v>
      </c>
      <c r="AH18" s="377">
        <v>0.35416666666666669</v>
      </c>
      <c r="AI18" s="385">
        <v>0</v>
      </c>
    </row>
    <row r="19" spans="1:35" ht="15" customHeight="1" thickBot="1" x14ac:dyDescent="0.25">
      <c r="A19" s="619"/>
      <c r="B19" s="621"/>
      <c r="C19" s="621"/>
      <c r="D19" s="623"/>
      <c r="E19" s="625"/>
      <c r="F19" s="597" t="s">
        <v>369</v>
      </c>
      <c r="G19" s="598"/>
      <c r="H19" s="267"/>
      <c r="I19" s="267"/>
      <c r="J19" s="267"/>
      <c r="K19" s="267"/>
      <c r="L19" s="66"/>
      <c r="W19" s="66"/>
      <c r="X19" s="66"/>
      <c r="Y19" s="396" t="s">
        <v>37</v>
      </c>
      <c r="Z19" s="402">
        <v>9.0972222222222218E-2</v>
      </c>
      <c r="AA19" s="439">
        <v>5.9027777777777776E-2</v>
      </c>
      <c r="AB19" s="439">
        <v>7.9166666666666663E-2</v>
      </c>
      <c r="AC19" s="439">
        <v>7.2222222222222215E-2</v>
      </c>
      <c r="AD19" s="439">
        <v>8.611111111111111E-2</v>
      </c>
      <c r="AE19" s="403">
        <v>7.7083333333333337E-2</v>
      </c>
      <c r="AF19" s="391">
        <f t="shared" si="0"/>
        <v>7.7430555555555544E-2</v>
      </c>
      <c r="AG19" s="378">
        <v>8.3333333333333329E-2</v>
      </c>
      <c r="AH19" s="378">
        <v>9.375E-2</v>
      </c>
      <c r="AI19" s="382">
        <v>2</v>
      </c>
    </row>
    <row r="20" spans="1:35" ht="15" customHeight="1" x14ac:dyDescent="0.25">
      <c r="A20" s="618" t="s">
        <v>60</v>
      </c>
      <c r="B20" s="620">
        <f>100-O73</f>
        <v>90</v>
      </c>
      <c r="C20" s="620">
        <f>100-O72</f>
        <v>90</v>
      </c>
      <c r="D20" s="622">
        <f>100-O74</f>
        <v>90</v>
      </c>
      <c r="E20" s="631">
        <f>SUM(B20:D21)-200</f>
        <v>70</v>
      </c>
      <c r="F20" s="597" t="s">
        <v>366</v>
      </c>
      <c r="G20" s="598"/>
      <c r="H20" s="267"/>
      <c r="I20" s="267"/>
      <c r="J20" s="272"/>
      <c r="K20" s="272"/>
      <c r="L20" s="66"/>
      <c r="W20" s="66"/>
      <c r="X20" s="66"/>
      <c r="Y20" s="397" t="s">
        <v>17</v>
      </c>
      <c r="Z20" s="404">
        <v>2</v>
      </c>
      <c r="AA20" s="345">
        <v>4</v>
      </c>
      <c r="AB20" s="345">
        <v>4</v>
      </c>
      <c r="AC20" s="345">
        <v>2</v>
      </c>
      <c r="AD20" s="440">
        <v>2</v>
      </c>
      <c r="AE20" s="346">
        <v>6</v>
      </c>
      <c r="AF20" s="380">
        <f t="shared" si="0"/>
        <v>3.3333333333333335</v>
      </c>
      <c r="AG20" s="379"/>
      <c r="AH20" s="380"/>
      <c r="AI20" s="383"/>
    </row>
    <row r="21" spans="1:35" ht="15" customHeight="1" thickBot="1" x14ac:dyDescent="0.25">
      <c r="A21" s="619"/>
      <c r="B21" s="621"/>
      <c r="C21" s="621"/>
      <c r="D21" s="623"/>
      <c r="E21" s="625"/>
      <c r="F21" s="597" t="s">
        <v>370</v>
      </c>
      <c r="G21" s="598"/>
      <c r="H21" s="267"/>
      <c r="I21" s="267"/>
      <c r="J21" s="267"/>
      <c r="K21" s="267"/>
      <c r="W21" s="66"/>
      <c r="Y21" s="398" t="s">
        <v>216</v>
      </c>
      <c r="Z21" s="405">
        <v>3.1828703703703706E-2</v>
      </c>
      <c r="AA21" s="347">
        <v>4.5671296296296293E-2</v>
      </c>
      <c r="AB21" s="347">
        <v>3.2337962962962964E-2</v>
      </c>
      <c r="AC21" s="348">
        <v>2.2789351851851852E-2</v>
      </c>
      <c r="AD21" s="348">
        <v>2.3414351851851853E-2</v>
      </c>
      <c r="AE21" s="349">
        <v>6.3414351851851847E-2</v>
      </c>
      <c r="AF21" s="392">
        <f t="shared" si="0"/>
        <v>3.6576003086419756E-2</v>
      </c>
      <c r="AG21" s="381">
        <v>3.4722222222222224E-2</v>
      </c>
      <c r="AH21" s="381"/>
      <c r="AI21" s="384"/>
    </row>
    <row r="22" spans="1:35" ht="15" customHeight="1" thickBot="1" x14ac:dyDescent="0.3">
      <c r="A22" s="628" t="s">
        <v>66</v>
      </c>
      <c r="B22" s="620">
        <f>100-O77</f>
        <v>100</v>
      </c>
      <c r="C22" s="620">
        <f>100-O76</f>
        <v>100</v>
      </c>
      <c r="D22" s="622">
        <f>100-O78</f>
        <v>90</v>
      </c>
      <c r="E22" s="631">
        <f>SUM(B22:D23)-200</f>
        <v>90</v>
      </c>
      <c r="F22" s="597" t="s">
        <v>351</v>
      </c>
      <c r="G22" s="598"/>
      <c r="H22" s="267"/>
      <c r="I22" s="267"/>
      <c r="J22" s="267"/>
      <c r="K22" s="267"/>
      <c r="L22" s="21"/>
      <c r="W22" s="165"/>
      <c r="X22" s="21"/>
      <c r="Y22" s="350"/>
      <c r="Z22" s="350"/>
      <c r="AA22" s="350"/>
      <c r="AB22" s="350"/>
      <c r="AC22" s="350"/>
      <c r="AD22" s="350"/>
      <c r="AE22" s="350"/>
      <c r="AF22" s="350"/>
      <c r="AG22"/>
      <c r="AH22" s="351" t="s">
        <v>131</v>
      </c>
      <c r="AI22" s="352">
        <f>SUM(AI14:AI19)</f>
        <v>5</v>
      </c>
    </row>
    <row r="23" spans="1:35" ht="15" customHeight="1" thickBot="1" x14ac:dyDescent="0.25">
      <c r="A23" s="628"/>
      <c r="B23" s="629"/>
      <c r="C23" s="629"/>
      <c r="D23" s="630"/>
      <c r="E23" s="625"/>
      <c r="F23" s="597"/>
      <c r="G23" s="598"/>
      <c r="H23" s="267"/>
      <c r="I23" s="267"/>
      <c r="J23" s="267"/>
      <c r="K23" s="267"/>
      <c r="L23" s="21"/>
      <c r="W23" s="72"/>
      <c r="X23" s="21"/>
    </row>
    <row r="24" spans="1:35" ht="15" customHeight="1" thickBot="1" x14ac:dyDescent="0.25">
      <c r="A24" s="628" t="s">
        <v>269</v>
      </c>
      <c r="B24" s="620">
        <f>100-O81</f>
        <v>80</v>
      </c>
      <c r="C24" s="620">
        <f>100-O80</f>
        <v>100</v>
      </c>
      <c r="D24" s="620">
        <f>100-O82</f>
        <v>90</v>
      </c>
      <c r="E24" s="631">
        <f>SUM(B24:D25)-200</f>
        <v>70</v>
      </c>
      <c r="F24" s="597" t="s">
        <v>371</v>
      </c>
      <c r="G24" s="598"/>
      <c r="H24" s="267"/>
      <c r="I24" s="267"/>
      <c r="J24" s="267"/>
      <c r="K24" s="267"/>
      <c r="L24" s="21"/>
      <c r="M24" s="595" t="s">
        <v>211</v>
      </c>
      <c r="N24" s="595"/>
      <c r="O24" s="594"/>
      <c r="P24" s="594"/>
      <c r="Q24" s="594"/>
      <c r="R24" s="594"/>
      <c r="S24" s="594"/>
      <c r="T24" s="594"/>
      <c r="U24" s="594"/>
      <c r="V24" s="594"/>
      <c r="W24" s="594"/>
      <c r="X24" s="21"/>
    </row>
    <row r="25" spans="1:35" ht="15" customHeight="1" thickBot="1" x14ac:dyDescent="0.3">
      <c r="A25" s="628"/>
      <c r="B25" s="629"/>
      <c r="C25" s="629"/>
      <c r="D25" s="629"/>
      <c r="E25" s="625"/>
      <c r="F25" s="597"/>
      <c r="G25" s="598"/>
      <c r="H25" s="267"/>
      <c r="I25" s="267"/>
      <c r="J25" s="267"/>
      <c r="K25" s="267"/>
      <c r="L25" s="21"/>
      <c r="M25" s="595"/>
      <c r="N25" s="595"/>
      <c r="O25" s="588" t="s">
        <v>251</v>
      </c>
      <c r="P25" s="589"/>
      <c r="Q25" s="590"/>
      <c r="R25" s="582" t="s">
        <v>144</v>
      </c>
      <c r="S25" s="583"/>
      <c r="T25" s="584"/>
      <c r="U25"/>
      <c r="V25"/>
      <c r="W25"/>
      <c r="X25" s="21"/>
    </row>
    <row r="26" spans="1:35" ht="15" customHeight="1" thickBot="1" x14ac:dyDescent="0.3">
      <c r="A26" s="628" t="s">
        <v>270</v>
      </c>
      <c r="B26" s="620">
        <f>100-O85</f>
        <v>70</v>
      </c>
      <c r="C26" s="620">
        <f>100-O84</f>
        <v>100</v>
      </c>
      <c r="D26" s="620">
        <f>100-O86</f>
        <v>90</v>
      </c>
      <c r="E26" s="632">
        <f>SUM(B26:D27)-200</f>
        <v>60</v>
      </c>
      <c r="F26" s="597" t="s">
        <v>372</v>
      </c>
      <c r="G26" s="598"/>
      <c r="H26" s="267"/>
      <c r="I26" s="267"/>
      <c r="J26" s="267"/>
      <c r="K26" s="267"/>
      <c r="L26" s="21"/>
      <c r="M26"/>
      <c r="N26"/>
      <c r="O26" s="591"/>
      <c r="P26" s="592"/>
      <c r="Q26" s="593"/>
      <c r="R26" s="585"/>
      <c r="S26" s="586"/>
      <c r="T26" s="587"/>
      <c r="U26"/>
      <c r="V26"/>
      <c r="W26"/>
      <c r="X26" s="21"/>
    </row>
    <row r="27" spans="1:35" ht="24.75" customHeight="1" thickBot="1" x14ac:dyDescent="0.25">
      <c r="A27" s="628"/>
      <c r="B27" s="629"/>
      <c r="C27" s="629"/>
      <c r="D27" s="629"/>
      <c r="E27" s="633"/>
      <c r="F27" s="597"/>
      <c r="G27" s="598"/>
      <c r="H27" s="267"/>
      <c r="I27" s="267"/>
      <c r="J27" s="267"/>
      <c r="K27" s="267"/>
      <c r="L27" s="74"/>
      <c r="M27" s="271"/>
      <c r="N27" s="271"/>
      <c r="O27" s="271"/>
      <c r="P27" s="271"/>
      <c r="Q27" s="271"/>
      <c r="R27" s="271"/>
      <c r="S27" s="271"/>
      <c r="T27" s="271"/>
      <c r="U27" s="271"/>
      <c r="V27" s="271"/>
      <c r="W27" s="271"/>
      <c r="X27" s="74"/>
    </row>
    <row r="28" spans="1:35" ht="15" customHeight="1" x14ac:dyDescent="0.25">
      <c r="A28" s="618" t="s">
        <v>61</v>
      </c>
      <c r="B28" s="620">
        <f>100-O89</f>
        <v>100</v>
      </c>
      <c r="C28" s="620">
        <f>100-O88</f>
        <v>90</v>
      </c>
      <c r="D28" s="622">
        <f>100-O90</f>
        <v>90</v>
      </c>
      <c r="E28" s="624">
        <f>SUM(B28:D29)-200</f>
        <v>80</v>
      </c>
      <c r="F28" s="597" t="s">
        <v>349</v>
      </c>
      <c r="G28" s="598"/>
      <c r="H28" s="267"/>
      <c r="I28" s="267"/>
      <c r="J28" s="267"/>
      <c r="K28" s="267"/>
      <c r="L28" s="81"/>
      <c r="M28" s="650" t="s">
        <v>212</v>
      </c>
      <c r="N28" s="650"/>
      <c r="O28" s="646"/>
      <c r="P28" s="646"/>
      <c r="Q28" s="646"/>
      <c r="R28" s="646"/>
      <c r="S28" s="646"/>
      <c r="T28" s="646"/>
      <c r="U28" s="646"/>
      <c r="V28" s="646"/>
      <c r="W28" s="646"/>
      <c r="X28" s="81"/>
    </row>
    <row r="29" spans="1:35" ht="15" customHeight="1" thickBot="1" x14ac:dyDescent="0.3">
      <c r="A29" s="619"/>
      <c r="B29" s="621"/>
      <c r="C29" s="621"/>
      <c r="D29" s="623"/>
      <c r="E29" s="625"/>
      <c r="F29" s="597" t="s">
        <v>373</v>
      </c>
      <c r="G29" s="598"/>
      <c r="H29" s="267"/>
      <c r="I29" s="267"/>
      <c r="J29" s="267"/>
      <c r="K29" s="267"/>
      <c r="L29" s="25"/>
      <c r="M29" s="650"/>
      <c r="N29" s="650"/>
      <c r="O29"/>
      <c r="P29"/>
      <c r="Q29"/>
      <c r="R29"/>
      <c r="S29"/>
      <c r="T29"/>
      <c r="U29"/>
      <c r="V29"/>
      <c r="W29"/>
      <c r="X29" s="25"/>
    </row>
    <row r="30" spans="1:35" ht="15" customHeight="1" x14ac:dyDescent="0.25">
      <c r="A30" s="618" t="s">
        <v>62</v>
      </c>
      <c r="B30" s="620">
        <f>100-O93</f>
        <v>100</v>
      </c>
      <c r="C30" s="620">
        <f>100-O92</f>
        <v>70</v>
      </c>
      <c r="D30" s="622"/>
      <c r="E30" s="624">
        <f>SUM(B30:D31)-100</f>
        <v>70</v>
      </c>
      <c r="F30" s="597"/>
      <c r="G30" s="598"/>
      <c r="H30" s="267"/>
      <c r="I30" s="267"/>
      <c r="J30" s="267"/>
      <c r="K30" s="267"/>
      <c r="L30" s="25"/>
      <c r="M30" s="238"/>
      <c r="N30" s="238"/>
      <c r="O30"/>
      <c r="P30"/>
      <c r="Q30"/>
      <c r="R30"/>
      <c r="S30"/>
      <c r="T30"/>
      <c r="U30"/>
      <c r="V30"/>
      <c r="W30"/>
      <c r="X30" s="25"/>
    </row>
    <row r="31" spans="1:35" ht="15" customHeight="1" thickBot="1" x14ac:dyDescent="0.3">
      <c r="A31" s="619"/>
      <c r="B31" s="621"/>
      <c r="C31" s="621"/>
      <c r="D31" s="623"/>
      <c r="E31" s="625"/>
      <c r="F31" s="597" t="s">
        <v>374</v>
      </c>
      <c r="G31" s="598"/>
      <c r="H31" s="267"/>
      <c r="I31" s="267"/>
      <c r="J31" s="267"/>
      <c r="K31" s="267"/>
      <c r="L31" s="25"/>
      <c r="M31"/>
      <c r="N31" s="647" t="s">
        <v>19</v>
      </c>
      <c r="O31" s="648"/>
      <c r="P31" s="649"/>
      <c r="Q31"/>
      <c r="R31" s="651" t="s">
        <v>51</v>
      </c>
      <c r="S31" s="652"/>
      <c r="T31" s="652"/>
      <c r="U31" s="652"/>
      <c r="V31" s="653"/>
      <c r="W31" s="271"/>
      <c r="X31" s="25"/>
    </row>
    <row r="32" spans="1:35" ht="15" customHeight="1" x14ac:dyDescent="0.25">
      <c r="A32" s="618" t="s">
        <v>125</v>
      </c>
      <c r="B32" s="620">
        <f>100-O97</f>
        <v>90</v>
      </c>
      <c r="C32" s="620">
        <f>100-O96</f>
        <v>70</v>
      </c>
      <c r="D32" s="622"/>
      <c r="E32" s="624">
        <f>SUM(B32:D33)-100</f>
        <v>60</v>
      </c>
      <c r="F32" s="597" t="s">
        <v>357</v>
      </c>
      <c r="G32" s="598"/>
      <c r="H32" s="267"/>
      <c r="I32" s="267"/>
      <c r="J32" s="267"/>
      <c r="K32" s="267"/>
      <c r="L32" s="25"/>
      <c r="M32"/>
      <c r="N32" s="239" t="s">
        <v>40</v>
      </c>
      <c r="O32" s="239" t="s">
        <v>73</v>
      </c>
      <c r="P32" s="239" t="s">
        <v>121</v>
      </c>
      <c r="Q32"/>
      <c r="R32" s="654" t="s">
        <v>122</v>
      </c>
      <c r="S32" s="240" t="s">
        <v>52</v>
      </c>
      <c r="T32" s="240" t="s">
        <v>106</v>
      </c>
      <c r="U32" s="240" t="s">
        <v>62</v>
      </c>
      <c r="V32" s="240" t="s">
        <v>65</v>
      </c>
      <c r="W32" s="271"/>
    </row>
    <row r="33" spans="1:23" ht="15" customHeight="1" thickBot="1" x14ac:dyDescent="0.3">
      <c r="A33" s="619"/>
      <c r="B33" s="621"/>
      <c r="C33" s="621"/>
      <c r="D33" s="623"/>
      <c r="E33" s="625"/>
      <c r="F33" s="597" t="s">
        <v>375</v>
      </c>
      <c r="G33" s="598"/>
      <c r="H33" s="267"/>
      <c r="I33" s="267"/>
      <c r="J33" s="267"/>
      <c r="K33" s="267"/>
      <c r="L33" s="25"/>
      <c r="M33"/>
      <c r="N33" s="258">
        <v>10</v>
      </c>
      <c r="O33" s="258">
        <v>10</v>
      </c>
      <c r="P33" s="258">
        <v>10</v>
      </c>
      <c r="Q33"/>
      <c r="R33" s="655"/>
      <c r="S33" s="241" t="s">
        <v>50</v>
      </c>
      <c r="T33" s="241" t="s">
        <v>50</v>
      </c>
      <c r="U33" s="241" t="s">
        <v>50</v>
      </c>
      <c r="V33" s="241" t="s">
        <v>50</v>
      </c>
      <c r="W33" s="271"/>
    </row>
    <row r="34" spans="1:23" ht="15" customHeight="1" x14ac:dyDescent="0.25">
      <c r="A34" s="618" t="s">
        <v>65</v>
      </c>
      <c r="B34" s="620">
        <f>100-O101</f>
        <v>100</v>
      </c>
      <c r="C34" s="620">
        <f>100-O100</f>
        <v>100</v>
      </c>
      <c r="D34" s="622"/>
      <c r="E34" s="624">
        <f>SUM(B34:D35)-100</f>
        <v>100</v>
      </c>
      <c r="F34" s="597"/>
      <c r="G34" s="598"/>
      <c r="H34" s="267"/>
      <c r="I34" s="267"/>
      <c r="J34" s="267"/>
      <c r="K34" s="267"/>
      <c r="L34" s="25"/>
      <c r="M34"/>
      <c r="N34" s="242" t="s">
        <v>257</v>
      </c>
      <c r="O34" s="242" t="s">
        <v>55</v>
      </c>
      <c r="P34" s="242" t="s">
        <v>42</v>
      </c>
      <c r="Q34"/>
      <c r="R34" s="258">
        <v>2</v>
      </c>
      <c r="S34" s="258">
        <v>1</v>
      </c>
      <c r="T34" s="258">
        <v>1</v>
      </c>
      <c r="U34" s="258">
        <v>2</v>
      </c>
      <c r="V34" s="258">
        <v>1</v>
      </c>
      <c r="W34" s="271"/>
    </row>
    <row r="35" spans="1:23" ht="15" customHeight="1" thickBot="1" x14ac:dyDescent="0.3">
      <c r="A35" s="619"/>
      <c r="B35" s="621"/>
      <c r="C35" s="621"/>
      <c r="D35" s="623"/>
      <c r="E35" s="625"/>
      <c r="F35" s="597"/>
      <c r="G35" s="598"/>
      <c r="H35" s="267"/>
      <c r="I35" s="267"/>
      <c r="J35" s="267"/>
      <c r="K35" s="267"/>
      <c r="L35" s="74"/>
      <c r="M35"/>
      <c r="N35" s="258">
        <v>10</v>
      </c>
      <c r="O35" s="258">
        <v>8</v>
      </c>
      <c r="P35" s="258">
        <v>9</v>
      </c>
      <c r="Q35"/>
      <c r="R35"/>
      <c r="S35" s="243"/>
      <c r="T35"/>
      <c r="U35"/>
      <c r="V35"/>
      <c r="W35" s="271"/>
    </row>
    <row r="36" spans="1:23" ht="15" customHeight="1" x14ac:dyDescent="0.25">
      <c r="A36" s="618" t="s">
        <v>249</v>
      </c>
      <c r="B36" s="620">
        <f>100-O105</f>
        <v>100</v>
      </c>
      <c r="C36" s="620">
        <f>100-O104</f>
        <v>90</v>
      </c>
      <c r="D36" s="622"/>
      <c r="E36" s="624">
        <f>SUM(B36:D37)-100</f>
        <v>90</v>
      </c>
      <c r="F36" s="597"/>
      <c r="G36" s="598"/>
      <c r="H36" s="267"/>
      <c r="I36" s="267"/>
      <c r="J36" s="267"/>
      <c r="K36" s="267"/>
      <c r="L36" s="74"/>
      <c r="M36"/>
      <c r="N36" s="242" t="s">
        <v>43</v>
      </c>
      <c r="O36" s="242" t="s">
        <v>44</v>
      </c>
      <c r="P36" s="242" t="s">
        <v>244</v>
      </c>
      <c r="Q36" s="242" t="s">
        <v>262</v>
      </c>
      <c r="R36"/>
      <c r="S36" s="243"/>
      <c r="T36"/>
      <c r="U36"/>
      <c r="V36"/>
      <c r="W36" s="271"/>
    </row>
    <row r="37" spans="1:23" ht="15" customHeight="1" thickBot="1" x14ac:dyDescent="0.3">
      <c r="A37" s="619"/>
      <c r="B37" s="621"/>
      <c r="C37" s="621"/>
      <c r="D37" s="623"/>
      <c r="E37" s="625"/>
      <c r="F37" s="659" t="s">
        <v>376</v>
      </c>
      <c r="G37" s="660"/>
      <c r="H37" s="267"/>
      <c r="I37" s="267"/>
      <c r="J37" s="267"/>
      <c r="K37" s="267"/>
      <c r="L37" s="25"/>
      <c r="M37"/>
      <c r="N37" s="258">
        <v>10</v>
      </c>
      <c r="O37" s="258">
        <v>9</v>
      </c>
      <c r="P37" s="258">
        <v>8</v>
      </c>
      <c r="Q37" s="258">
        <v>10</v>
      </c>
      <c r="R37"/>
      <c r="S37" s="243"/>
      <c r="T37" s="202"/>
      <c r="U37"/>
      <c r="V37"/>
      <c r="W37"/>
    </row>
    <row r="38" spans="1:23" ht="15" customHeight="1" thickBot="1" x14ac:dyDescent="0.3">
      <c r="A38" s="211" t="s">
        <v>82</v>
      </c>
      <c r="B38" s="228">
        <f>AVERAGE(B16:B37)</f>
        <v>90.909090909090907</v>
      </c>
      <c r="C38" s="228">
        <f>AVERAGE(C16:C37)</f>
        <v>87.272727272727266</v>
      </c>
      <c r="D38" s="228">
        <f>AVERAGE(D16:D37)</f>
        <v>91.666666666666671</v>
      </c>
      <c r="E38" s="283"/>
      <c r="F38" s="283"/>
      <c r="G38" s="283"/>
      <c r="H38" s="271"/>
      <c r="I38" s="271"/>
      <c r="J38"/>
      <c r="K38"/>
      <c r="L38" s="25"/>
      <c r="M38"/>
      <c r="N38" s="656" t="s">
        <v>245</v>
      </c>
      <c r="O38" s="657"/>
      <c r="P38" s="658"/>
      <c r="Q38"/>
      <c r="R38"/>
      <c r="S38"/>
      <c r="T38"/>
      <c r="U38"/>
      <c r="V38"/>
      <c r="W38" s="311"/>
    </row>
    <row r="39" spans="1:23" ht="15" customHeight="1" x14ac:dyDescent="0.25">
      <c r="A39" s="212"/>
      <c r="B39" s="213"/>
      <c r="C39" s="213"/>
      <c r="D39" s="214"/>
      <c r="E39" s="271"/>
      <c r="F39" s="271"/>
      <c r="G39" s="271"/>
      <c r="H39" s="271"/>
      <c r="I39" s="434"/>
      <c r="J39"/>
      <c r="K39"/>
      <c r="L39" s="25"/>
      <c r="M39"/>
      <c r="N39" s="661">
        <f>AVERAGE(N33,O35,P35,N37,P37,N35,P33,Q37,O33,O37)*10</f>
        <v>94</v>
      </c>
      <c r="O39" s="662"/>
      <c r="P39" s="663"/>
      <c r="Q39"/>
      <c r="R39"/>
      <c r="S39"/>
      <c r="T39"/>
      <c r="U39"/>
      <c r="V39"/>
      <c r="W39" s="312"/>
    </row>
    <row r="40" spans="1:23" ht="15" customHeight="1" x14ac:dyDescent="0.25">
      <c r="A40" s="637" t="s">
        <v>18</v>
      </c>
      <c r="B40" s="638"/>
      <c r="C40" s="639"/>
      <c r="D40"/>
      <c r="E40" s="640" t="s">
        <v>255</v>
      </c>
      <c r="F40" s="641"/>
      <c r="G40" s="642"/>
      <c r="H40"/>
      <c r="I40" s="216"/>
      <c r="J40" s="216"/>
      <c r="K40" s="216"/>
      <c r="L40" s="81"/>
      <c r="M40"/>
      <c r="N40" s="244"/>
      <c r="O40" s="244"/>
      <c r="P40" s="244"/>
      <c r="Q40"/>
      <c r="R40"/>
      <c r="S40"/>
      <c r="T40"/>
      <c r="U40"/>
      <c r="V40"/>
      <c r="W40"/>
    </row>
    <row r="41" spans="1:23" ht="15" customHeight="1" x14ac:dyDescent="0.25">
      <c r="A41" s="217" t="s">
        <v>1</v>
      </c>
      <c r="B41" s="217" t="s">
        <v>120</v>
      </c>
      <c r="C41" s="256" t="s">
        <v>117</v>
      </c>
      <c r="D41"/>
      <c r="E41" s="643">
        <f>S67</f>
        <v>0.66666666666666663</v>
      </c>
      <c r="F41" s="644"/>
      <c r="G41" s="645"/>
      <c r="H41"/>
      <c r="I41" s="255"/>
      <c r="J41" s="255"/>
      <c r="K41" s="255"/>
      <c r="L41" s="81"/>
      <c r="M41"/>
      <c r="N41" s="635" t="s">
        <v>378</v>
      </c>
      <c r="O41" s="635"/>
      <c r="P41" s="635"/>
      <c r="Q41" s="635"/>
      <c r="R41" s="635"/>
      <c r="S41" s="635"/>
      <c r="T41" s="635"/>
      <c r="U41" s="635"/>
      <c r="V41" s="635"/>
      <c r="W41"/>
    </row>
    <row r="42" spans="1:23" ht="15" customHeight="1" x14ac:dyDescent="0.25">
      <c r="A42" s="258" t="s">
        <v>75</v>
      </c>
      <c r="B42" s="286" t="s">
        <v>259</v>
      </c>
      <c r="C42" s="412">
        <v>46</v>
      </c>
      <c r="D42"/>
      <c r="E42"/>
      <c r="F42"/>
      <c r="G42"/>
      <c r="H42"/>
      <c r="I42" s="251"/>
      <c r="J42" s="255"/>
      <c r="K42" s="255"/>
      <c r="M42"/>
      <c r="N42" s="636" t="s">
        <v>348</v>
      </c>
      <c r="O42" s="636"/>
      <c r="P42" s="636"/>
      <c r="Q42" s="636"/>
      <c r="R42" s="636"/>
      <c r="S42" s="636"/>
      <c r="T42" s="636"/>
      <c r="U42" s="636"/>
      <c r="V42" s="636"/>
      <c r="W42"/>
    </row>
    <row r="43" spans="1:23" ht="15" customHeight="1" x14ac:dyDescent="0.25">
      <c r="A43" s="258" t="s">
        <v>76</v>
      </c>
      <c r="B43" s="286" t="s">
        <v>260</v>
      </c>
      <c r="C43" s="412">
        <v>60</v>
      </c>
      <c r="D43"/>
      <c r="E43" s="640" t="s">
        <v>256</v>
      </c>
      <c r="F43" s="641"/>
      <c r="G43" s="642"/>
      <c r="H43"/>
      <c r="I43" s="251"/>
      <c r="J43" s="255"/>
      <c r="K43" s="255"/>
      <c r="M43"/>
      <c r="N43" s="635" t="s">
        <v>246</v>
      </c>
      <c r="O43" s="635"/>
      <c r="P43" s="635"/>
      <c r="Q43" s="635"/>
      <c r="R43" s="635"/>
      <c r="S43" s="635"/>
      <c r="T43" s="635"/>
      <c r="U43" s="635"/>
      <c r="V43"/>
      <c r="W43"/>
    </row>
    <row r="44" spans="1:23" ht="15" customHeight="1" x14ac:dyDescent="0.25">
      <c r="A44" s="258" t="s">
        <v>230</v>
      </c>
      <c r="B44" s="286" t="s">
        <v>78</v>
      </c>
      <c r="C44" s="258">
        <v>65</v>
      </c>
      <c r="D44"/>
      <c r="E44" s="643">
        <f>(S64)</f>
        <v>1</v>
      </c>
      <c r="F44" s="644"/>
      <c r="G44" s="645"/>
      <c r="H44"/>
      <c r="I44" s="251"/>
      <c r="J44" s="255"/>
      <c r="K44" s="255"/>
      <c r="M44"/>
      <c r="N44" s="634" t="s">
        <v>247</v>
      </c>
      <c r="O44" s="634"/>
      <c r="P44" s="634"/>
      <c r="Q44" s="634"/>
      <c r="R44" s="634"/>
      <c r="S44" s="634"/>
      <c r="T44" s="634"/>
      <c r="U44" s="634"/>
      <c r="V44" s="634"/>
      <c r="W44"/>
    </row>
    <row r="45" spans="1:23" ht="15" customHeight="1" x14ac:dyDescent="0.25">
      <c r="A45" s="258" t="s">
        <v>66</v>
      </c>
      <c r="B45" s="286" t="s">
        <v>323</v>
      </c>
      <c r="C45" s="258">
        <v>71</v>
      </c>
      <c r="D45"/>
      <c r="E45"/>
      <c r="F45"/>
      <c r="G45"/>
      <c r="H45"/>
      <c r="I45" s="251"/>
      <c r="J45" s="255"/>
      <c r="K45" s="255"/>
      <c r="M45"/>
      <c r="N45" s="634"/>
      <c r="O45" s="634"/>
      <c r="P45" s="634"/>
      <c r="Q45" s="634"/>
      <c r="R45" s="634"/>
      <c r="S45" s="634"/>
      <c r="T45" s="634"/>
      <c r="U45" s="634"/>
      <c r="V45" s="634"/>
      <c r="W45"/>
    </row>
    <row r="46" spans="1:23" ht="15" customHeight="1" x14ac:dyDescent="0.25">
      <c r="A46" s="258" t="s">
        <v>197</v>
      </c>
      <c r="B46" s="286" t="s">
        <v>78</v>
      </c>
      <c r="C46" s="320">
        <v>67</v>
      </c>
      <c r="D46"/>
      <c r="E46" s="295" t="s">
        <v>252</v>
      </c>
      <c r="F46" s="295" t="s">
        <v>188</v>
      </c>
      <c r="G46" s="295" t="s">
        <v>126</v>
      </c>
      <c r="H46"/>
      <c r="I46" s="251"/>
      <c r="J46" s="255"/>
      <c r="K46" s="255"/>
    </row>
    <row r="47" spans="1:23" ht="15" customHeight="1" x14ac:dyDescent="0.25">
      <c r="A47" s="258" t="s">
        <v>68</v>
      </c>
      <c r="B47" s="286" t="s">
        <v>136</v>
      </c>
      <c r="C47" s="258">
        <v>61</v>
      </c>
      <c r="D47"/>
      <c r="E47" s="225" t="s">
        <v>228</v>
      </c>
      <c r="F47" s="225" t="s">
        <v>228</v>
      </c>
      <c r="G47" s="226" t="s">
        <v>336</v>
      </c>
      <c r="H47" s="212"/>
      <c r="I47" s="435"/>
      <c r="J47"/>
      <c r="K47" s="253"/>
    </row>
    <row r="48" spans="1:23" ht="15" customHeight="1" x14ac:dyDescent="0.2">
      <c r="A48" s="92"/>
      <c r="B48" s="107"/>
      <c r="C48" s="107"/>
      <c r="D48" s="108"/>
      <c r="I48" s="74"/>
      <c r="N48" s="146"/>
      <c r="O48" s="146"/>
      <c r="P48" s="175"/>
      <c r="Q48" s="175"/>
      <c r="R48" s="175"/>
      <c r="S48" s="175"/>
      <c r="T48" s="175"/>
      <c r="U48" s="175"/>
      <c r="V48" s="177"/>
    </row>
    <row r="49" spans="1:24" ht="15" customHeight="1" x14ac:dyDescent="0.2">
      <c r="A49" s="92"/>
      <c r="B49" s="107"/>
      <c r="C49" s="107"/>
      <c r="D49" s="108"/>
      <c r="H49" s="74"/>
      <c r="L49" s="81"/>
      <c r="N49" s="146"/>
      <c r="O49" s="146"/>
      <c r="P49" s="175"/>
      <c r="Q49" s="175"/>
      <c r="R49" s="175"/>
      <c r="S49" s="175"/>
      <c r="T49" s="175"/>
      <c r="U49" s="175"/>
      <c r="V49" s="177"/>
    </row>
    <row r="50" spans="1:24" ht="15" customHeight="1" x14ac:dyDescent="0.2">
      <c r="A50" s="92"/>
      <c r="B50" s="107"/>
      <c r="C50" s="107"/>
      <c r="D50" s="108"/>
      <c r="E50" s="136"/>
      <c r="F50" s="136"/>
      <c r="G50" s="137"/>
      <c r="H50" s="74"/>
      <c r="L50" s="81"/>
      <c r="N50" s="146"/>
      <c r="O50" s="146"/>
      <c r="P50" s="175"/>
      <c r="Q50" s="175"/>
      <c r="R50" s="175"/>
      <c r="S50" s="175"/>
      <c r="T50" s="175"/>
      <c r="U50" s="175"/>
      <c r="V50" s="177"/>
    </row>
    <row r="51" spans="1:24" ht="15" customHeight="1" x14ac:dyDescent="0.2">
      <c r="A51" s="92"/>
      <c r="B51" s="107"/>
      <c r="C51" s="107"/>
      <c r="D51" s="108"/>
      <c r="E51" s="136"/>
      <c r="F51" s="136"/>
      <c r="G51" s="137"/>
      <c r="H51" s="74"/>
      <c r="L51" s="81"/>
      <c r="N51" s="149"/>
      <c r="O51" s="149"/>
      <c r="P51" s="149"/>
      <c r="Q51" s="149"/>
      <c r="R51" s="149"/>
      <c r="S51" s="149"/>
      <c r="T51" s="149"/>
      <c r="U51" s="149"/>
      <c r="V51" s="149"/>
    </row>
    <row r="52" spans="1:24" ht="15" customHeight="1" x14ac:dyDescent="0.2">
      <c r="A52" s="92"/>
      <c r="B52" s="107"/>
      <c r="C52" s="107"/>
      <c r="D52" s="108"/>
      <c r="E52" s="136"/>
      <c r="F52" s="136"/>
      <c r="G52" s="137"/>
      <c r="H52" s="74"/>
      <c r="L52" s="81"/>
      <c r="N52" s="176"/>
      <c r="O52" s="176"/>
      <c r="P52" s="176"/>
      <c r="Q52" s="176"/>
      <c r="R52" s="176"/>
      <c r="S52" s="176"/>
      <c r="T52" s="176"/>
      <c r="U52" s="176"/>
      <c r="V52" s="176"/>
    </row>
    <row r="53" spans="1:24" ht="15" customHeight="1" x14ac:dyDescent="0.2">
      <c r="A53" s="92"/>
      <c r="B53" s="107"/>
      <c r="C53" s="107"/>
      <c r="D53" s="108"/>
      <c r="E53" s="136"/>
      <c r="F53" s="136"/>
      <c r="G53" s="137"/>
      <c r="H53" s="74"/>
      <c r="L53" s="81"/>
      <c r="N53" s="146"/>
      <c r="O53" s="146"/>
      <c r="P53" s="153"/>
      <c r="Q53" s="153"/>
      <c r="R53" s="153"/>
      <c r="S53" s="153"/>
      <c r="T53" s="153"/>
      <c r="U53" s="153"/>
      <c r="V53" s="178"/>
    </row>
    <row r="54" spans="1:24" ht="15" customHeight="1" x14ac:dyDescent="0.2">
      <c r="A54" s="92"/>
      <c r="B54" s="107"/>
      <c r="C54" s="107"/>
      <c r="D54" s="108"/>
      <c r="E54" s="136"/>
      <c r="F54" s="136"/>
      <c r="G54" s="137"/>
      <c r="H54" s="74"/>
      <c r="L54" s="81"/>
      <c r="N54" s="179"/>
      <c r="O54" s="179"/>
      <c r="P54" s="153"/>
      <c r="Q54" s="153"/>
      <c r="R54" s="153"/>
      <c r="S54" s="153"/>
      <c r="T54" s="153"/>
      <c r="U54" s="153"/>
      <c r="V54" s="178"/>
    </row>
    <row r="55" spans="1:24" ht="15" customHeight="1" x14ac:dyDescent="0.2">
      <c r="A55" s="92"/>
      <c r="B55" s="107"/>
      <c r="C55" s="107"/>
      <c r="D55" s="108"/>
      <c r="E55" s="136"/>
      <c r="F55" s="136"/>
      <c r="G55" s="137"/>
      <c r="H55" s="74"/>
      <c r="L55" s="81"/>
      <c r="N55" s="146"/>
      <c r="O55" s="146"/>
      <c r="P55" s="153"/>
      <c r="Q55" s="153"/>
      <c r="R55" s="153"/>
      <c r="S55" s="153"/>
      <c r="T55" s="153"/>
      <c r="U55" s="153"/>
      <c r="V55" s="177"/>
    </row>
    <row r="56" spans="1:24" ht="15" customHeight="1" x14ac:dyDescent="0.2">
      <c r="A56" s="92"/>
      <c r="B56" s="107"/>
      <c r="C56" s="107"/>
      <c r="D56" s="108"/>
      <c r="E56" s="136"/>
      <c r="F56" s="136"/>
      <c r="G56" s="137"/>
      <c r="H56" s="74"/>
      <c r="L56" s="81"/>
      <c r="N56" s="149"/>
      <c r="O56" s="149"/>
      <c r="P56" s="149"/>
      <c r="Q56" s="149"/>
      <c r="R56" s="149"/>
      <c r="S56" s="149"/>
      <c r="T56" s="149"/>
      <c r="U56" s="149"/>
      <c r="V56" s="149"/>
    </row>
    <row r="57" spans="1:24" ht="15" customHeight="1" x14ac:dyDescent="0.2">
      <c r="A57" s="92"/>
      <c r="B57" s="107"/>
      <c r="C57" s="107"/>
      <c r="D57" s="108"/>
      <c r="E57" s="136"/>
      <c r="F57" s="136"/>
      <c r="G57" s="137"/>
      <c r="H57" s="74"/>
      <c r="L57" s="81"/>
      <c r="N57" s="176"/>
      <c r="O57" s="176"/>
      <c r="P57" s="176"/>
      <c r="Q57" s="176"/>
      <c r="R57" s="176"/>
      <c r="S57" s="176"/>
      <c r="T57" s="176"/>
      <c r="U57" s="176"/>
      <c r="V57" s="176"/>
    </row>
    <row r="58" spans="1:24" ht="15" customHeight="1" x14ac:dyDescent="0.2">
      <c r="A58" s="92"/>
      <c r="B58" s="107"/>
      <c r="C58" s="107"/>
      <c r="D58" s="108"/>
      <c r="E58" s="136"/>
      <c r="F58" s="136"/>
      <c r="G58" s="137"/>
      <c r="H58" s="74"/>
      <c r="L58" s="81"/>
      <c r="N58" s="146"/>
      <c r="O58" s="146"/>
      <c r="P58" s="153"/>
      <c r="Q58" s="153"/>
      <c r="R58" s="153"/>
      <c r="S58" s="153"/>
      <c r="T58" s="153"/>
      <c r="U58" s="153"/>
      <c r="V58" s="180"/>
    </row>
    <row r="59" spans="1:24" ht="15" customHeight="1" x14ac:dyDescent="0.2">
      <c r="A59" s="92"/>
      <c r="B59" s="107"/>
      <c r="C59" s="107"/>
      <c r="D59" s="108"/>
      <c r="E59" s="136"/>
      <c r="F59" s="136"/>
      <c r="G59" s="137"/>
      <c r="H59" s="74"/>
      <c r="L59" s="81"/>
      <c r="N59" s="146"/>
      <c r="O59" s="146"/>
      <c r="P59" s="153"/>
      <c r="Q59" s="153"/>
      <c r="R59" s="153"/>
      <c r="S59" s="153"/>
      <c r="T59" s="153"/>
      <c r="U59" s="153"/>
      <c r="V59" s="180"/>
    </row>
    <row r="60" spans="1:24" ht="15" customHeight="1" x14ac:dyDescent="0.2">
      <c r="A60" s="138"/>
      <c r="B60" s="139"/>
      <c r="C60" s="139"/>
      <c r="D60" s="140"/>
      <c r="E60" s="141"/>
      <c r="F60" s="141"/>
      <c r="G60" s="142"/>
      <c r="H60" s="30"/>
      <c r="I60" s="143"/>
      <c r="J60" s="143"/>
      <c r="K60" s="143"/>
      <c r="L60" s="81"/>
      <c r="N60" s="146"/>
      <c r="O60" s="146"/>
      <c r="P60" s="153"/>
      <c r="Q60" s="153"/>
      <c r="R60" s="153"/>
      <c r="S60" s="153"/>
      <c r="T60" s="153"/>
      <c r="U60" s="153"/>
      <c r="V60" s="154"/>
    </row>
    <row r="61" spans="1:24" ht="14.25" customHeight="1" x14ac:dyDescent="0.2">
      <c r="A61" s="525" t="s">
        <v>100</v>
      </c>
      <c r="B61" s="525"/>
      <c r="C61" s="525"/>
      <c r="D61" s="128"/>
      <c r="E61" s="525" t="s">
        <v>92</v>
      </c>
      <c r="F61" s="525"/>
      <c r="G61" s="525"/>
      <c r="H61" s="96"/>
      <c r="I61" s="96"/>
      <c r="J61" s="96"/>
      <c r="K61" s="96"/>
      <c r="L61" s="81"/>
      <c r="N61" s="146"/>
      <c r="O61" s="146"/>
      <c r="P61" s="149"/>
      <c r="Q61" s="149"/>
      <c r="R61" s="149"/>
      <c r="S61" s="149"/>
      <c r="T61" s="149"/>
      <c r="U61" s="149"/>
      <c r="V61" s="150"/>
    </row>
    <row r="62" spans="1:24" ht="14.25" customHeight="1" x14ac:dyDescent="0.2">
      <c r="A62" s="66" t="s">
        <v>46</v>
      </c>
      <c r="B62" s="66" t="s">
        <v>14</v>
      </c>
      <c r="C62" s="66" t="s">
        <v>13</v>
      </c>
      <c r="D62" s="128"/>
      <c r="E62" s="66" t="s">
        <v>46</v>
      </c>
      <c r="F62" s="66" t="s">
        <v>14</v>
      </c>
      <c r="G62" s="66" t="s">
        <v>13</v>
      </c>
      <c r="H62" s="96"/>
      <c r="I62" s="96"/>
      <c r="J62" s="96"/>
      <c r="K62" s="96"/>
      <c r="L62" s="144"/>
      <c r="M62" s="143"/>
      <c r="N62" s="145"/>
      <c r="O62" s="145"/>
      <c r="P62" s="145"/>
      <c r="Q62" s="145"/>
      <c r="R62" s="145"/>
      <c r="S62" s="145"/>
      <c r="T62" s="145"/>
      <c r="U62" s="145"/>
      <c r="V62" s="145"/>
      <c r="W62" s="143"/>
      <c r="X62" s="143"/>
    </row>
    <row r="63" spans="1:24" ht="14.25" customHeight="1" x14ac:dyDescent="0.2">
      <c r="A63" s="66">
        <v>10</v>
      </c>
      <c r="B63" s="66">
        <v>0</v>
      </c>
      <c r="C63" s="66">
        <f>(A63-B63)</f>
        <v>10</v>
      </c>
      <c r="D63" s="128"/>
      <c r="E63" s="66">
        <v>10</v>
      </c>
      <c r="F63" s="66">
        <v>0</v>
      </c>
      <c r="G63" s="66">
        <f>(E63-F63)</f>
        <v>10</v>
      </c>
      <c r="H63" s="96"/>
      <c r="I63" s="96"/>
      <c r="J63" s="96"/>
      <c r="K63" s="96"/>
      <c r="L63" s="96"/>
      <c r="M63" s="525" t="s">
        <v>63</v>
      </c>
      <c r="N63" s="525"/>
      <c r="O63" s="525"/>
      <c r="Q63" s="539" t="s">
        <v>47</v>
      </c>
      <c r="R63" s="540"/>
      <c r="S63" s="541"/>
      <c r="U63" s="539" t="s">
        <v>126</v>
      </c>
      <c r="V63" s="540"/>
      <c r="W63" s="541"/>
    </row>
    <row r="64" spans="1:24" ht="14.25" customHeight="1" x14ac:dyDescent="0.2">
      <c r="A64" s="92"/>
      <c r="B64" s="107"/>
      <c r="C64" s="107"/>
      <c r="D64" s="108"/>
      <c r="E64" s="136"/>
      <c r="F64" s="136"/>
      <c r="G64" s="137"/>
      <c r="H64" s="74"/>
      <c r="L64" s="96"/>
      <c r="M64" s="4" t="s">
        <v>20</v>
      </c>
      <c r="N64" s="40">
        <f>(F63)*10</f>
        <v>0</v>
      </c>
      <c r="O64" s="41">
        <f>(10*N64)/10</f>
        <v>0</v>
      </c>
      <c r="Q64" s="544">
        <v>8</v>
      </c>
      <c r="R64" s="545"/>
      <c r="S64" s="160">
        <f>Q64/8</f>
        <v>1</v>
      </c>
      <c r="U64" s="544">
        <v>2</v>
      </c>
      <c r="V64" s="545"/>
      <c r="W64" s="61">
        <f>(25*U64)</f>
        <v>50</v>
      </c>
    </row>
    <row r="65" spans="1:24" s="143" customFormat="1" ht="14.25" customHeight="1" x14ac:dyDescent="0.2">
      <c r="A65" s="525" t="s">
        <v>96</v>
      </c>
      <c r="B65" s="525"/>
      <c r="C65" s="525"/>
      <c r="D65" s="128"/>
      <c r="E65" s="525" t="s">
        <v>88</v>
      </c>
      <c r="F65" s="525"/>
      <c r="G65" s="525"/>
      <c r="H65" s="96"/>
      <c r="I65" s="525" t="s">
        <v>103</v>
      </c>
      <c r="J65" s="525"/>
      <c r="K65" s="525"/>
      <c r="L65" s="96"/>
      <c r="M65" s="4" t="s">
        <v>21</v>
      </c>
      <c r="N65" s="40">
        <f>(B63)*10</f>
        <v>0</v>
      </c>
      <c r="O65" s="41">
        <f>(10*N65)/10</f>
        <v>0</v>
      </c>
      <c r="P65" s="1"/>
      <c r="Q65" s="96"/>
      <c r="R65" s="96"/>
      <c r="S65" s="96"/>
      <c r="T65" s="1"/>
      <c r="U65" s="96"/>
      <c r="V65" s="96"/>
      <c r="W65" s="96"/>
      <c r="X65" s="1"/>
    </row>
    <row r="66" spans="1:24" ht="14.25" customHeight="1" x14ac:dyDescent="0.2">
      <c r="A66" s="66" t="s">
        <v>46</v>
      </c>
      <c r="B66" s="66" t="s">
        <v>14</v>
      </c>
      <c r="C66" s="66" t="s">
        <v>13</v>
      </c>
      <c r="D66" s="128"/>
      <c r="E66" s="66" t="s">
        <v>46</v>
      </c>
      <c r="F66" s="66" t="s">
        <v>14</v>
      </c>
      <c r="G66" s="66" t="s">
        <v>13</v>
      </c>
      <c r="H66" s="96"/>
      <c r="I66" s="66" t="s">
        <v>46</v>
      </c>
      <c r="J66" s="66" t="s">
        <v>14</v>
      </c>
      <c r="K66" s="66" t="s">
        <v>13</v>
      </c>
      <c r="L66" s="81"/>
      <c r="N66" s="50"/>
      <c r="O66" s="50"/>
      <c r="Q66" s="538" t="s">
        <v>18</v>
      </c>
      <c r="R66" s="538"/>
      <c r="S66" s="538"/>
      <c r="U66" s="539" t="s">
        <v>188</v>
      </c>
      <c r="V66" s="540"/>
      <c r="W66" s="541"/>
    </row>
    <row r="67" spans="1:24" ht="14.25" customHeight="1" x14ac:dyDescent="0.2">
      <c r="A67" s="66">
        <v>14</v>
      </c>
      <c r="B67" s="66">
        <v>3</v>
      </c>
      <c r="C67" s="66">
        <f>(A67-B67)</f>
        <v>11</v>
      </c>
      <c r="D67" s="128"/>
      <c r="E67" s="66">
        <v>13</v>
      </c>
      <c r="F67" s="66">
        <v>5</v>
      </c>
      <c r="G67" s="66">
        <f>(E67-F67)</f>
        <v>8</v>
      </c>
      <c r="H67" s="96"/>
      <c r="I67" s="66">
        <v>7</v>
      </c>
      <c r="J67" s="66">
        <v>0</v>
      </c>
      <c r="K67" s="66">
        <f>(I67-J67)</f>
        <v>7</v>
      </c>
      <c r="L67" s="96"/>
      <c r="M67" s="525" t="s">
        <v>53</v>
      </c>
      <c r="N67" s="525"/>
      <c r="O67" s="525"/>
      <c r="Q67" s="484">
        <v>4</v>
      </c>
      <c r="R67" s="484"/>
      <c r="S67" s="160">
        <f>Q67/6</f>
        <v>0.66666666666666663</v>
      </c>
      <c r="U67" s="544">
        <v>3</v>
      </c>
      <c r="V67" s="545"/>
      <c r="W67" s="61">
        <f>(33.333333333*U67)</f>
        <v>99.999999998999996</v>
      </c>
    </row>
    <row r="68" spans="1:24" ht="14.25" customHeight="1" x14ac:dyDescent="0.2">
      <c r="A68" s="96"/>
      <c r="B68" s="96"/>
      <c r="C68" s="66"/>
      <c r="D68" s="128"/>
      <c r="E68" s="96"/>
      <c r="F68" s="96"/>
      <c r="G68" s="66"/>
      <c r="H68" s="66"/>
      <c r="I68" s="96"/>
      <c r="J68" s="96"/>
      <c r="K68" s="96"/>
      <c r="L68" s="96"/>
      <c r="M68" s="4" t="s">
        <v>20</v>
      </c>
      <c r="N68" s="40">
        <f>(F67)*10</f>
        <v>50</v>
      </c>
      <c r="O68" s="41">
        <f>(10*N68)/10</f>
        <v>50</v>
      </c>
      <c r="Q68" s="96"/>
      <c r="R68" s="96"/>
      <c r="S68" s="96"/>
      <c r="U68" s="96"/>
      <c r="V68" s="96"/>
      <c r="W68" s="96"/>
    </row>
    <row r="69" spans="1:24" ht="14.25" customHeight="1" x14ac:dyDescent="0.2">
      <c r="A69" s="525" t="s">
        <v>93</v>
      </c>
      <c r="B69" s="525"/>
      <c r="C69" s="525"/>
      <c r="D69" s="96"/>
      <c r="E69" s="525" t="s">
        <v>85</v>
      </c>
      <c r="F69" s="525"/>
      <c r="G69" s="525"/>
      <c r="H69" s="66"/>
      <c r="I69" s="525" t="s">
        <v>101</v>
      </c>
      <c r="J69" s="525"/>
      <c r="K69" s="525"/>
      <c r="L69" s="96"/>
      <c r="M69" s="4" t="s">
        <v>21</v>
      </c>
      <c r="N69" s="40">
        <f>(B67)*10</f>
        <v>30</v>
      </c>
      <c r="O69" s="41">
        <f>(10*N69)/10</f>
        <v>30</v>
      </c>
      <c r="Q69" s="538" t="s">
        <v>48</v>
      </c>
      <c r="R69" s="538"/>
      <c r="S69" s="538"/>
      <c r="U69" s="539" t="s">
        <v>189</v>
      </c>
      <c r="V69" s="540"/>
      <c r="W69" s="541"/>
    </row>
    <row r="70" spans="1:24" ht="14.25" customHeight="1" x14ac:dyDescent="0.2">
      <c r="A70" s="66" t="s">
        <v>46</v>
      </c>
      <c r="B70" s="66" t="s">
        <v>14</v>
      </c>
      <c r="C70" s="66" t="s">
        <v>13</v>
      </c>
      <c r="D70" s="66"/>
      <c r="E70" s="66" t="s">
        <v>46</v>
      </c>
      <c r="F70" s="66" t="s">
        <v>14</v>
      </c>
      <c r="G70" s="66" t="s">
        <v>13</v>
      </c>
      <c r="H70" s="66"/>
      <c r="I70" s="66" t="s">
        <v>46</v>
      </c>
      <c r="J70" s="66" t="s">
        <v>14</v>
      </c>
      <c r="K70" s="66" t="s">
        <v>13</v>
      </c>
      <c r="L70" s="96"/>
      <c r="M70" s="4" t="s">
        <v>22</v>
      </c>
      <c r="N70" s="40">
        <f>(J67)*10</f>
        <v>0</v>
      </c>
      <c r="O70" s="41">
        <f>(10*N70)/10</f>
        <v>0</v>
      </c>
      <c r="Q70" s="543"/>
      <c r="R70" s="543"/>
      <c r="S70" s="543"/>
      <c r="U70" s="544">
        <v>1</v>
      </c>
      <c r="V70" s="545"/>
      <c r="W70" s="61">
        <f>(100*U70)</f>
        <v>100</v>
      </c>
    </row>
    <row r="71" spans="1:24" ht="14.25" customHeight="1" x14ac:dyDescent="0.2">
      <c r="A71" s="66">
        <v>8</v>
      </c>
      <c r="B71" s="66">
        <v>1</v>
      </c>
      <c r="C71" s="66">
        <f>(A71-B71)</f>
        <v>7</v>
      </c>
      <c r="D71" s="96"/>
      <c r="E71" s="66">
        <v>8</v>
      </c>
      <c r="F71" s="66">
        <v>1</v>
      </c>
      <c r="G71" s="66">
        <f>(E71-F71)</f>
        <v>7</v>
      </c>
      <c r="H71" s="66"/>
      <c r="I71" s="66">
        <v>7</v>
      </c>
      <c r="J71" s="66">
        <v>1</v>
      </c>
      <c r="K71" s="66">
        <f>(I71-J71)</f>
        <v>6</v>
      </c>
      <c r="L71" s="81"/>
      <c r="M71" s="525" t="s">
        <v>60</v>
      </c>
      <c r="N71" s="525"/>
      <c r="O71" s="525"/>
      <c r="U71" s="96"/>
      <c r="V71" s="96"/>
      <c r="W71" s="96"/>
    </row>
    <row r="72" spans="1:24" ht="14.25" customHeight="1" x14ac:dyDescent="0.2">
      <c r="A72" s="66"/>
      <c r="B72" s="66"/>
      <c r="C72" s="66"/>
      <c r="D72" s="127"/>
      <c r="E72" s="66"/>
      <c r="F72" s="66"/>
      <c r="G72" s="66"/>
      <c r="H72" s="66"/>
      <c r="I72" s="66"/>
      <c r="J72" s="66"/>
      <c r="K72" s="96"/>
      <c r="L72" s="81"/>
      <c r="M72" s="4" t="s">
        <v>20</v>
      </c>
      <c r="N72" s="40">
        <f>(F71)*10</f>
        <v>10</v>
      </c>
      <c r="O72" s="41">
        <f>(10*N72)/10</f>
        <v>10</v>
      </c>
      <c r="U72" s="546" t="s">
        <v>210</v>
      </c>
      <c r="V72" s="547"/>
      <c r="W72" s="548"/>
    </row>
    <row r="73" spans="1:24" ht="14.25" customHeight="1" x14ac:dyDescent="0.2">
      <c r="A73" s="525" t="s">
        <v>271</v>
      </c>
      <c r="B73" s="525"/>
      <c r="C73" s="525"/>
      <c r="E73" s="525" t="s">
        <v>288</v>
      </c>
      <c r="F73" s="525"/>
      <c r="G73" s="525"/>
      <c r="I73" s="525" t="s">
        <v>276</v>
      </c>
      <c r="J73" s="525"/>
      <c r="K73" s="525"/>
      <c r="L73" s="81"/>
      <c r="M73" s="4" t="s">
        <v>21</v>
      </c>
      <c r="N73" s="40">
        <f>(B71)*10</f>
        <v>10</v>
      </c>
      <c r="O73" s="41">
        <f>(10*N73)/10</f>
        <v>10</v>
      </c>
      <c r="U73" s="549">
        <v>3</v>
      </c>
      <c r="V73" s="550"/>
      <c r="W73" s="132">
        <f>(U73/6)*100</f>
        <v>50</v>
      </c>
    </row>
    <row r="74" spans="1:24" ht="14.25" customHeight="1" x14ac:dyDescent="0.2">
      <c r="A74" s="66" t="s">
        <v>46</v>
      </c>
      <c r="B74" s="66" t="s">
        <v>14</v>
      </c>
      <c r="C74" s="66" t="s">
        <v>13</v>
      </c>
      <c r="E74" s="66" t="s">
        <v>46</v>
      </c>
      <c r="F74" s="66" t="s">
        <v>14</v>
      </c>
      <c r="G74" s="66" t="s">
        <v>13</v>
      </c>
      <c r="I74" s="66" t="s">
        <v>46</v>
      </c>
      <c r="J74" s="66" t="s">
        <v>14</v>
      </c>
      <c r="K74" s="66" t="s">
        <v>13</v>
      </c>
      <c r="L74" s="81"/>
      <c r="M74" s="4" t="s">
        <v>22</v>
      </c>
      <c r="N74" s="40">
        <f>(J71)*10</f>
        <v>10</v>
      </c>
      <c r="O74" s="41">
        <f>(10*N74)/10</f>
        <v>10</v>
      </c>
      <c r="T74" s="31"/>
      <c r="U74" s="31"/>
      <c r="V74" s="31"/>
    </row>
    <row r="75" spans="1:24" ht="14.25" customHeight="1" x14ac:dyDescent="0.2">
      <c r="A75" s="66">
        <v>13</v>
      </c>
      <c r="B75" s="66">
        <v>0</v>
      </c>
      <c r="C75" s="66">
        <f>(A75-B75)</f>
        <v>13</v>
      </c>
      <c r="E75" s="66">
        <v>13</v>
      </c>
      <c r="F75" s="66">
        <v>0</v>
      </c>
      <c r="G75" s="66">
        <f>(E75-F75)</f>
        <v>13</v>
      </c>
      <c r="I75" s="66">
        <v>7</v>
      </c>
      <c r="J75" s="66">
        <v>1</v>
      </c>
      <c r="K75" s="66">
        <f>(I75-J75)</f>
        <v>6</v>
      </c>
      <c r="L75" s="96"/>
      <c r="M75" s="525" t="s">
        <v>66</v>
      </c>
      <c r="N75" s="525"/>
      <c r="O75" s="525"/>
    </row>
    <row r="76" spans="1:24" ht="14.25" customHeight="1" x14ac:dyDescent="0.2">
      <c r="I76" s="96"/>
      <c r="J76" s="96"/>
      <c r="K76" s="96"/>
      <c r="L76" s="96"/>
      <c r="M76" s="4" t="s">
        <v>20</v>
      </c>
      <c r="N76" s="40">
        <f>(F75)*10</f>
        <v>0</v>
      </c>
      <c r="O76" s="41">
        <f>(10*N76)/10</f>
        <v>0</v>
      </c>
    </row>
    <row r="77" spans="1:24" ht="14.25" customHeight="1" x14ac:dyDescent="0.2">
      <c r="A77" s="525" t="s">
        <v>272</v>
      </c>
      <c r="B77" s="525"/>
      <c r="C77" s="525"/>
      <c r="E77" s="525" t="s">
        <v>287</v>
      </c>
      <c r="F77" s="525"/>
      <c r="G77" s="525"/>
      <c r="I77" s="525" t="s">
        <v>277</v>
      </c>
      <c r="J77" s="525"/>
      <c r="K77" s="525"/>
      <c r="L77" s="96"/>
      <c r="M77" s="4" t="s">
        <v>21</v>
      </c>
      <c r="N77" s="40">
        <f>(B75)*10</f>
        <v>0</v>
      </c>
      <c r="O77" s="41">
        <f>(10*N77)/10</f>
        <v>0</v>
      </c>
    </row>
    <row r="78" spans="1:24" ht="14.25" customHeight="1" x14ac:dyDescent="0.2">
      <c r="A78" s="66" t="s">
        <v>46</v>
      </c>
      <c r="B78" s="66" t="s">
        <v>14</v>
      </c>
      <c r="C78" s="66" t="s">
        <v>13</v>
      </c>
      <c r="E78" s="66" t="s">
        <v>46</v>
      </c>
      <c r="F78" s="66" t="s">
        <v>14</v>
      </c>
      <c r="G78" s="66" t="s">
        <v>13</v>
      </c>
      <c r="I78" s="66" t="s">
        <v>46</v>
      </c>
      <c r="J78" s="66" t="s">
        <v>14</v>
      </c>
      <c r="K78" s="66" t="s">
        <v>13</v>
      </c>
      <c r="L78" s="96"/>
      <c r="M78" s="4" t="s">
        <v>22</v>
      </c>
      <c r="N78" s="40">
        <f>(J75)*10</f>
        <v>10</v>
      </c>
      <c r="O78" s="41">
        <f>(10*N78)/10</f>
        <v>10</v>
      </c>
      <c r="R78" s="1" t="s">
        <v>263</v>
      </c>
    </row>
    <row r="79" spans="1:24" ht="14.25" customHeight="1" x14ac:dyDescent="0.2">
      <c r="A79" s="66">
        <v>9</v>
      </c>
      <c r="B79" s="66">
        <v>2</v>
      </c>
      <c r="C79" s="66">
        <f>(A79-B79)</f>
        <v>7</v>
      </c>
      <c r="E79" s="66">
        <v>9</v>
      </c>
      <c r="F79" s="66">
        <v>0</v>
      </c>
      <c r="G79" s="66">
        <f>(E79-F79)</f>
        <v>9</v>
      </c>
      <c r="I79" s="66">
        <v>7</v>
      </c>
      <c r="J79" s="66">
        <v>1</v>
      </c>
      <c r="K79" s="66">
        <f>(I79-J79)</f>
        <v>6</v>
      </c>
      <c r="L79" s="96"/>
      <c r="M79" s="525" t="s">
        <v>269</v>
      </c>
      <c r="N79" s="525"/>
      <c r="O79" s="525"/>
      <c r="R79" s="72">
        <f>SUM(E63+E95+E67+E91+I67+6)</f>
        <v>52</v>
      </c>
      <c r="S79" s="72">
        <f>SUM(G63+G67+G91+G95+K67+5)</f>
        <v>40</v>
      </c>
    </row>
    <row r="80" spans="1:24" ht="14.25" customHeight="1" x14ac:dyDescent="0.2">
      <c r="L80" s="96"/>
      <c r="M80" s="4" t="s">
        <v>20</v>
      </c>
      <c r="N80" s="40">
        <f>(F79)*10</f>
        <v>0</v>
      </c>
      <c r="O80" s="41">
        <f>(10*N80)/10</f>
        <v>0</v>
      </c>
      <c r="R80" s="1">
        <f>100/R79</f>
        <v>1.9230769230769231</v>
      </c>
      <c r="S80" s="163">
        <f>S79*R80</f>
        <v>76.92307692307692</v>
      </c>
    </row>
    <row r="81" spans="1:24" ht="14.25" customHeight="1" x14ac:dyDescent="0.2">
      <c r="A81" s="525" t="s">
        <v>275</v>
      </c>
      <c r="B81" s="525"/>
      <c r="C81" s="525"/>
      <c r="E81" s="525" t="s">
        <v>274</v>
      </c>
      <c r="F81" s="525"/>
      <c r="G81" s="525"/>
      <c r="I81" s="525" t="s">
        <v>273</v>
      </c>
      <c r="J81" s="525"/>
      <c r="K81" s="525"/>
      <c r="L81" s="96"/>
      <c r="M81" s="4" t="s">
        <v>21</v>
      </c>
      <c r="N81" s="40">
        <f>(B79)*10</f>
        <v>20</v>
      </c>
      <c r="O81" s="41">
        <f>(10*N81)/10</f>
        <v>20</v>
      </c>
    </row>
    <row r="82" spans="1:24" ht="14.25" customHeight="1" x14ac:dyDescent="0.2">
      <c r="A82" s="66" t="s">
        <v>46</v>
      </c>
      <c r="B82" s="66" t="s">
        <v>14</v>
      </c>
      <c r="C82" s="66" t="s">
        <v>13</v>
      </c>
      <c r="E82" s="66" t="s">
        <v>46</v>
      </c>
      <c r="F82" s="66" t="s">
        <v>14</v>
      </c>
      <c r="G82" s="66" t="s">
        <v>13</v>
      </c>
      <c r="I82" s="66" t="s">
        <v>46</v>
      </c>
      <c r="J82" s="66" t="s">
        <v>14</v>
      </c>
      <c r="K82" s="66" t="s">
        <v>13</v>
      </c>
      <c r="L82" s="96"/>
      <c r="M82" s="4" t="s">
        <v>22</v>
      </c>
      <c r="N82" s="40">
        <f>(J79)*10</f>
        <v>10</v>
      </c>
      <c r="O82" s="41">
        <f>(10*N82)/10</f>
        <v>10</v>
      </c>
      <c r="R82" s="1" t="s">
        <v>264</v>
      </c>
    </row>
    <row r="83" spans="1:24" ht="14.25" customHeight="1" x14ac:dyDescent="0.2">
      <c r="A83" s="66">
        <v>11</v>
      </c>
      <c r="B83" s="66">
        <v>3</v>
      </c>
      <c r="C83" s="66">
        <f>(A83-B83)</f>
        <v>8</v>
      </c>
      <c r="E83" s="66">
        <v>11</v>
      </c>
      <c r="F83" s="66">
        <v>0</v>
      </c>
      <c r="G83" s="66">
        <f>(E83-F83)</f>
        <v>11</v>
      </c>
      <c r="I83" s="66">
        <v>7</v>
      </c>
      <c r="J83" s="66">
        <v>1</v>
      </c>
      <c r="K83" s="66">
        <f>(I83-J83)</f>
        <v>6</v>
      </c>
      <c r="L83" s="96"/>
      <c r="M83" s="525" t="s">
        <v>278</v>
      </c>
      <c r="N83" s="525"/>
      <c r="O83" s="525"/>
      <c r="R83" s="72">
        <f>SUM(E87+E71+E83+I71+I83+I87+16+6)</f>
        <v>68</v>
      </c>
      <c r="S83" s="72">
        <f>SUM(G71+G83+G87+K71+K83+K87+V34+6)</f>
        <v>48</v>
      </c>
    </row>
    <row r="84" spans="1:24" ht="14.25" customHeight="1" x14ac:dyDescent="0.2">
      <c r="L84" s="96"/>
      <c r="M84" s="4" t="s">
        <v>20</v>
      </c>
      <c r="N84" s="40">
        <f>(F83)*10</f>
        <v>0</v>
      </c>
      <c r="O84" s="41">
        <f>(10*N84)/10</f>
        <v>0</v>
      </c>
      <c r="R84" s="1">
        <f>100/R83</f>
        <v>1.4705882352941178</v>
      </c>
      <c r="S84" s="163">
        <f>S83*R84</f>
        <v>70.588235294117652</v>
      </c>
    </row>
    <row r="85" spans="1:24" ht="14.25" customHeight="1" x14ac:dyDescent="0.2">
      <c r="A85" s="525" t="s">
        <v>95</v>
      </c>
      <c r="B85" s="525"/>
      <c r="C85" s="525"/>
      <c r="E85" s="525" t="s">
        <v>87</v>
      </c>
      <c r="F85" s="525"/>
      <c r="G85" s="525"/>
      <c r="I85" s="525" t="s">
        <v>102</v>
      </c>
      <c r="J85" s="525"/>
      <c r="K85" s="525"/>
      <c r="L85" s="96"/>
      <c r="M85" s="4" t="s">
        <v>21</v>
      </c>
      <c r="N85" s="40">
        <f>(B83)*10</f>
        <v>30</v>
      </c>
      <c r="O85" s="41">
        <f>(10*N85)/10</f>
        <v>30</v>
      </c>
    </row>
    <row r="86" spans="1:24" ht="14.25" customHeight="1" x14ac:dyDescent="0.2">
      <c r="A86" s="66" t="s">
        <v>46</v>
      </c>
      <c r="B86" s="66" t="s">
        <v>14</v>
      </c>
      <c r="C86" s="66" t="s">
        <v>13</v>
      </c>
      <c r="E86" s="66" t="s">
        <v>46</v>
      </c>
      <c r="F86" s="66" t="s">
        <v>14</v>
      </c>
      <c r="G86" s="66" t="s">
        <v>13</v>
      </c>
      <c r="I86" s="66" t="s">
        <v>46</v>
      </c>
      <c r="J86" s="66" t="s">
        <v>14</v>
      </c>
      <c r="K86" s="66" t="s">
        <v>13</v>
      </c>
      <c r="L86" s="96"/>
      <c r="M86" s="4" t="s">
        <v>22</v>
      </c>
      <c r="N86" s="40">
        <f>(J83)*10</f>
        <v>10</v>
      </c>
      <c r="O86" s="41">
        <f>(10*N86)/10</f>
        <v>10</v>
      </c>
      <c r="R86" s="1" t="s">
        <v>265</v>
      </c>
    </row>
    <row r="87" spans="1:24" ht="14.25" customHeight="1" x14ac:dyDescent="0.2">
      <c r="A87" s="66">
        <v>8</v>
      </c>
      <c r="B87" s="66">
        <v>0</v>
      </c>
      <c r="C87" s="66">
        <f>(A87-B87)</f>
        <v>8</v>
      </c>
      <c r="E87" s="66">
        <v>6</v>
      </c>
      <c r="F87" s="66">
        <v>1</v>
      </c>
      <c r="G87" s="66">
        <f>(E87-F87)</f>
        <v>5</v>
      </c>
      <c r="I87" s="66">
        <v>7</v>
      </c>
      <c r="J87" s="66">
        <v>1</v>
      </c>
      <c r="K87" s="66">
        <f>(I87-J87)</f>
        <v>6</v>
      </c>
      <c r="L87" s="96"/>
      <c r="M87" s="525" t="s">
        <v>61</v>
      </c>
      <c r="N87" s="525"/>
      <c r="O87" s="525"/>
      <c r="R87" s="72">
        <f>SUM(A63+A67+A71+A83+A87+A91+A95+A99+A103+E63+E67+E71+E95+E99+E103+I67+I71+I83+I87+E91+E83+E87+6+16+6)</f>
        <v>208</v>
      </c>
      <c r="S87" s="72">
        <f>SUM(C67+C63+G83+G87+G91+C71+C83+C87+C91+C95+C99+C103+G63+G67+G71+G95+G99+K67+K71+K83+K87+G103+5+V34+6)</f>
        <v>167</v>
      </c>
    </row>
    <row r="88" spans="1:24" ht="14.25" customHeight="1" x14ac:dyDescent="0.2">
      <c r="L88" s="96"/>
      <c r="M88" s="4" t="s">
        <v>20</v>
      </c>
      <c r="N88" s="40">
        <f>(F87)*10</f>
        <v>10</v>
      </c>
      <c r="O88" s="41">
        <f>(10*N88)/10</f>
        <v>10</v>
      </c>
      <c r="R88" s="1">
        <f>100/R87</f>
        <v>0.48076923076923078</v>
      </c>
      <c r="S88" s="163">
        <f>S87*R88</f>
        <v>80.288461538461547</v>
      </c>
      <c r="T88" s="72"/>
      <c r="U88" s="72"/>
      <c r="V88" s="72"/>
    </row>
    <row r="89" spans="1:24" ht="14.25" customHeight="1" x14ac:dyDescent="0.2">
      <c r="A89" s="525" t="s">
        <v>97</v>
      </c>
      <c r="B89" s="525"/>
      <c r="C89" s="525"/>
      <c r="E89" s="525" t="s">
        <v>89</v>
      </c>
      <c r="F89" s="525"/>
      <c r="G89" s="525"/>
      <c r="L89" s="96"/>
      <c r="M89" s="4" t="s">
        <v>21</v>
      </c>
      <c r="N89" s="40">
        <f>(B87)*10</f>
        <v>0</v>
      </c>
      <c r="O89" s="41">
        <f>(10*N89)/10</f>
        <v>0</v>
      </c>
      <c r="P89" s="72"/>
      <c r="Q89" s="72"/>
      <c r="R89" s="72"/>
      <c r="S89" s="72"/>
      <c r="T89" s="72"/>
      <c r="U89" s="72"/>
      <c r="V89" s="72"/>
      <c r="W89" s="72"/>
    </row>
    <row r="90" spans="1:24" ht="14.25" customHeight="1" x14ac:dyDescent="0.2">
      <c r="A90" s="66" t="s">
        <v>46</v>
      </c>
      <c r="B90" s="66" t="s">
        <v>14</v>
      </c>
      <c r="C90" s="66" t="s">
        <v>13</v>
      </c>
      <c r="E90" s="66" t="s">
        <v>46</v>
      </c>
      <c r="F90" s="66" t="s">
        <v>14</v>
      </c>
      <c r="G90" s="66" t="s">
        <v>13</v>
      </c>
      <c r="L90" s="96"/>
      <c r="M90" s="4" t="s">
        <v>22</v>
      </c>
      <c r="N90" s="40">
        <f>(J87)*10</f>
        <v>10</v>
      </c>
      <c r="O90" s="41">
        <f>(10*N90)/10</f>
        <v>10</v>
      </c>
      <c r="P90" s="72"/>
      <c r="Q90" s="72"/>
      <c r="R90" s="1" t="s">
        <v>266</v>
      </c>
      <c r="S90" s="72"/>
      <c r="T90" s="72"/>
      <c r="U90" s="72"/>
      <c r="V90" s="72"/>
      <c r="W90" s="72"/>
    </row>
    <row r="91" spans="1:24" ht="14.25" customHeight="1" x14ac:dyDescent="0.2">
      <c r="A91" s="66">
        <v>13</v>
      </c>
      <c r="B91" s="66">
        <v>0</v>
      </c>
      <c r="C91" s="66">
        <f>(A91-B91)</f>
        <v>13</v>
      </c>
      <c r="E91" s="66">
        <v>12</v>
      </c>
      <c r="F91" s="66">
        <v>3</v>
      </c>
      <c r="G91" s="66">
        <f>(E91-F91)</f>
        <v>9</v>
      </c>
      <c r="L91" s="96"/>
      <c r="M91" s="525" t="s">
        <v>62</v>
      </c>
      <c r="N91" s="525"/>
      <c r="O91" s="525"/>
      <c r="P91" s="72"/>
      <c r="Q91" s="72"/>
      <c r="R91" s="72">
        <f>E99</f>
        <v>5</v>
      </c>
      <c r="S91" s="72">
        <f>G99</f>
        <v>5</v>
      </c>
      <c r="T91" s="72"/>
      <c r="U91" s="72"/>
      <c r="V91" s="72"/>
      <c r="W91" s="72"/>
    </row>
    <row r="92" spans="1:24" ht="14.25" customHeight="1" x14ac:dyDescent="0.2">
      <c r="L92" s="96"/>
      <c r="M92" s="4" t="s">
        <v>20</v>
      </c>
      <c r="N92" s="40">
        <f>(F91)*10</f>
        <v>30</v>
      </c>
      <c r="O92" s="41">
        <f>(10*N92)/10</f>
        <v>30</v>
      </c>
      <c r="P92" s="72"/>
      <c r="Q92" s="72"/>
      <c r="R92" s="72">
        <f>100/R91</f>
        <v>20</v>
      </c>
      <c r="S92" s="72">
        <f>S91*R92</f>
        <v>100</v>
      </c>
      <c r="T92" s="72"/>
      <c r="U92" s="72"/>
      <c r="V92" s="72"/>
      <c r="W92" s="72"/>
      <c r="X92" s="72"/>
    </row>
    <row r="93" spans="1:24" ht="14.25" customHeight="1" x14ac:dyDescent="0.2">
      <c r="A93" s="525" t="s">
        <v>98</v>
      </c>
      <c r="B93" s="525"/>
      <c r="C93" s="525"/>
      <c r="E93" s="525" t="s">
        <v>90</v>
      </c>
      <c r="F93" s="525"/>
      <c r="G93" s="525"/>
      <c r="L93" s="96"/>
      <c r="M93" s="4" t="s">
        <v>21</v>
      </c>
      <c r="N93" s="40">
        <f>(B91)*10</f>
        <v>0</v>
      </c>
      <c r="O93" s="41">
        <f>(10*N93)/10</f>
        <v>0</v>
      </c>
      <c r="P93" s="72"/>
      <c r="Q93" s="72"/>
      <c r="R93" s="72"/>
      <c r="S93" s="72"/>
      <c r="W93" s="72"/>
      <c r="X93" s="72"/>
    </row>
    <row r="94" spans="1:24" ht="14.25" customHeight="1" x14ac:dyDescent="0.2">
      <c r="A94" s="66" t="s">
        <v>46</v>
      </c>
      <c r="B94" s="66" t="s">
        <v>14</v>
      </c>
      <c r="C94" s="66" t="s">
        <v>13</v>
      </c>
      <c r="E94" s="66" t="s">
        <v>46</v>
      </c>
      <c r="F94" s="66" t="s">
        <v>14</v>
      </c>
      <c r="G94" s="66" t="s">
        <v>13</v>
      </c>
      <c r="L94" s="96"/>
      <c r="M94" s="66"/>
      <c r="N94" s="66"/>
      <c r="O94" s="66"/>
      <c r="X94" s="72"/>
    </row>
    <row r="95" spans="1:24" ht="14.25" customHeight="1" x14ac:dyDescent="0.2">
      <c r="A95" s="66">
        <v>6</v>
      </c>
      <c r="B95" s="66">
        <v>1</v>
      </c>
      <c r="C95" s="66">
        <f>(A95-B95)</f>
        <v>5</v>
      </c>
      <c r="E95" s="66">
        <v>4</v>
      </c>
      <c r="F95" s="66">
        <v>3</v>
      </c>
      <c r="G95" s="66">
        <f>(E95-F95)</f>
        <v>1</v>
      </c>
      <c r="L95" s="96"/>
      <c r="M95" s="525" t="s">
        <v>64</v>
      </c>
      <c r="N95" s="525"/>
      <c r="O95" s="525"/>
      <c r="X95" s="72"/>
    </row>
    <row r="96" spans="1:24" ht="14.25" customHeight="1" x14ac:dyDescent="0.2">
      <c r="C96" s="1" t="s">
        <v>134</v>
      </c>
      <c r="L96" s="96"/>
      <c r="M96" s="4" t="s">
        <v>20</v>
      </c>
      <c r="N96" s="40">
        <f>(F95)*10</f>
        <v>30</v>
      </c>
      <c r="O96" s="41">
        <f>(10*N96)/10</f>
        <v>30</v>
      </c>
      <c r="X96" s="72"/>
    </row>
    <row r="97" spans="1:15" ht="14.25" customHeight="1" x14ac:dyDescent="0.2">
      <c r="A97" s="525" t="s">
        <v>99</v>
      </c>
      <c r="B97" s="525"/>
      <c r="C97" s="525"/>
      <c r="D97" s="66"/>
      <c r="E97" s="525" t="s">
        <v>91</v>
      </c>
      <c r="F97" s="525"/>
      <c r="G97" s="525"/>
      <c r="H97" s="96"/>
      <c r="L97" s="96"/>
      <c r="M97" s="4" t="s">
        <v>21</v>
      </c>
      <c r="N97" s="40">
        <f>(B95)*10</f>
        <v>10</v>
      </c>
      <c r="O97" s="41">
        <f>(10*N97)/10</f>
        <v>10</v>
      </c>
    </row>
    <row r="98" spans="1:15" ht="14.25" customHeight="1" x14ac:dyDescent="0.2">
      <c r="A98" s="66" t="s">
        <v>46</v>
      </c>
      <c r="B98" s="66" t="s">
        <v>14</v>
      </c>
      <c r="C98" s="66" t="s">
        <v>13</v>
      </c>
      <c r="D98" s="131"/>
      <c r="E98" s="66" t="s">
        <v>46</v>
      </c>
      <c r="F98" s="66" t="s">
        <v>14</v>
      </c>
      <c r="G98" s="66" t="s">
        <v>13</v>
      </c>
      <c r="H98" s="66"/>
      <c r="L98" s="96"/>
      <c r="M98" s="66"/>
      <c r="N98" s="66"/>
      <c r="O98" s="66"/>
    </row>
    <row r="99" spans="1:15" ht="14.25" customHeight="1" x14ac:dyDescent="0.2">
      <c r="A99" s="66">
        <v>5</v>
      </c>
      <c r="B99" s="66">
        <v>0</v>
      </c>
      <c r="C99" s="66">
        <f>(A99-B99)</f>
        <v>5</v>
      </c>
      <c r="D99" s="23"/>
      <c r="E99" s="66">
        <v>5</v>
      </c>
      <c r="F99" s="66">
        <v>0</v>
      </c>
      <c r="G99" s="66">
        <f>(E99-F99)</f>
        <v>5</v>
      </c>
      <c r="H99" s="66"/>
      <c r="L99" s="96"/>
      <c r="M99" s="525" t="s">
        <v>65</v>
      </c>
      <c r="N99" s="525"/>
      <c r="O99" s="525"/>
    </row>
    <row r="100" spans="1:15" ht="14.25" customHeight="1" x14ac:dyDescent="0.2">
      <c r="A100" s="96"/>
      <c r="B100" s="96"/>
      <c r="C100" s="96"/>
      <c r="D100" s="24"/>
      <c r="E100" s="96"/>
      <c r="F100" s="96"/>
      <c r="G100" s="96"/>
      <c r="H100" s="66"/>
      <c r="L100" s="96"/>
      <c r="M100" s="4" t="s">
        <v>20</v>
      </c>
      <c r="N100" s="40">
        <f>(F99)*10</f>
        <v>0</v>
      </c>
      <c r="O100" s="41">
        <f>(10*N100)/10</f>
        <v>0</v>
      </c>
    </row>
    <row r="101" spans="1:15" ht="14.25" customHeight="1" x14ac:dyDescent="0.2">
      <c r="A101" s="525" t="s">
        <v>170</v>
      </c>
      <c r="B101" s="525"/>
      <c r="C101" s="525"/>
      <c r="D101" s="96"/>
      <c r="E101" s="525" t="s">
        <v>171</v>
      </c>
      <c r="F101" s="525"/>
      <c r="G101" s="525"/>
      <c r="H101" s="96"/>
      <c r="L101" s="96"/>
      <c r="M101" s="4" t="s">
        <v>21</v>
      </c>
      <c r="N101" s="40">
        <f>(B99)*10</f>
        <v>0</v>
      </c>
      <c r="O101" s="41">
        <f>(10*N101)/10</f>
        <v>0</v>
      </c>
    </row>
    <row r="102" spans="1:15" ht="14.25" customHeight="1" x14ac:dyDescent="0.2">
      <c r="A102" s="66" t="s">
        <v>46</v>
      </c>
      <c r="B102" s="66" t="s">
        <v>14</v>
      </c>
      <c r="C102" s="66" t="s">
        <v>13</v>
      </c>
      <c r="D102" s="96"/>
      <c r="E102" s="66" t="s">
        <v>46</v>
      </c>
      <c r="F102" s="66" t="s">
        <v>14</v>
      </c>
      <c r="G102" s="66" t="s">
        <v>13</v>
      </c>
      <c r="H102" s="96"/>
      <c r="L102" s="96"/>
      <c r="M102" s="65"/>
      <c r="N102" s="66"/>
      <c r="O102" s="67"/>
    </row>
    <row r="103" spans="1:15" ht="14.25" customHeight="1" x14ac:dyDescent="0.2">
      <c r="A103" s="66">
        <v>3</v>
      </c>
      <c r="B103" s="66">
        <v>0</v>
      </c>
      <c r="C103" s="66">
        <f>(A103-B103)</f>
        <v>3</v>
      </c>
      <c r="D103" s="96"/>
      <c r="E103" s="66">
        <v>5</v>
      </c>
      <c r="F103" s="66">
        <v>1</v>
      </c>
      <c r="G103" s="66">
        <f>(E103-F103)</f>
        <v>4</v>
      </c>
      <c r="H103" s="96"/>
      <c r="L103" s="72"/>
      <c r="M103" s="525" t="s">
        <v>45</v>
      </c>
      <c r="N103" s="525"/>
      <c r="O103" s="525"/>
    </row>
    <row r="104" spans="1:15" ht="14.25" customHeight="1" x14ac:dyDescent="0.2">
      <c r="A104" s="96"/>
      <c r="B104" s="96"/>
      <c r="C104" s="96"/>
      <c r="D104" s="128"/>
      <c r="E104" s="96"/>
      <c r="F104" s="96"/>
      <c r="G104" s="96"/>
      <c r="H104" s="96"/>
      <c r="I104" s="96"/>
      <c r="J104" s="96"/>
      <c r="K104" s="96"/>
      <c r="L104" s="72"/>
      <c r="M104" s="4" t="s">
        <v>20</v>
      </c>
      <c r="N104" s="40">
        <f>(F103)*10</f>
        <v>10</v>
      </c>
      <c r="O104" s="41">
        <f>(10*N104)/10</f>
        <v>10</v>
      </c>
    </row>
    <row r="105" spans="1:15" ht="14.25" customHeight="1" x14ac:dyDescent="0.2">
      <c r="D105" s="96"/>
      <c r="H105" s="66"/>
      <c r="I105" s="96"/>
      <c r="J105" s="96"/>
      <c r="K105" s="96"/>
      <c r="M105" s="4" t="s">
        <v>21</v>
      </c>
      <c r="N105" s="40">
        <f>(B103)*10</f>
        <v>0</v>
      </c>
      <c r="O105" s="41">
        <f>(10*N105)/10</f>
        <v>0</v>
      </c>
    </row>
    <row r="106" spans="1:15" ht="14.25" customHeight="1" x14ac:dyDescent="0.2">
      <c r="D106" s="129"/>
      <c r="H106" s="66"/>
      <c r="I106" s="96"/>
      <c r="J106" s="96"/>
      <c r="K106" s="96"/>
    </row>
    <row r="107" spans="1:15" ht="14.25" customHeight="1" x14ac:dyDescent="0.2">
      <c r="D107" s="50"/>
      <c r="H107" s="66"/>
      <c r="I107" s="96"/>
      <c r="J107" s="96"/>
      <c r="K107" s="96"/>
    </row>
    <row r="108" spans="1:15" ht="14.25" customHeight="1" x14ac:dyDescent="0.2">
      <c r="A108" s="96"/>
      <c r="B108" s="96"/>
      <c r="C108" s="96"/>
      <c r="D108" s="128"/>
      <c r="E108" s="96"/>
      <c r="F108" s="96"/>
      <c r="G108" s="96"/>
      <c r="H108" s="96"/>
      <c r="I108" s="96"/>
      <c r="J108" s="96"/>
      <c r="K108" s="96"/>
    </row>
    <row r="109" spans="1:15" ht="14.25" customHeight="1" x14ac:dyDescent="0.2">
      <c r="D109" s="128"/>
      <c r="H109" s="96"/>
      <c r="I109" s="96"/>
      <c r="J109" s="96"/>
      <c r="K109" s="96"/>
    </row>
    <row r="110" spans="1:15" ht="14.25" customHeight="1" x14ac:dyDescent="0.2">
      <c r="D110" s="128"/>
      <c r="H110" s="96"/>
      <c r="I110" s="96"/>
      <c r="J110" s="96"/>
      <c r="K110" s="96"/>
    </row>
    <row r="111" spans="1:15" ht="14.25" customHeight="1" x14ac:dyDescent="0.2">
      <c r="D111" s="128"/>
      <c r="H111" s="96"/>
      <c r="I111" s="96"/>
      <c r="J111" s="96"/>
      <c r="K111" s="96"/>
    </row>
    <row r="112" spans="1:15" ht="14.25" customHeight="1" x14ac:dyDescent="0.2">
      <c r="A112" s="96"/>
      <c r="B112" s="96"/>
      <c r="C112" s="96"/>
      <c r="D112" s="128"/>
      <c r="E112" s="96"/>
      <c r="F112" s="96"/>
      <c r="G112" s="96"/>
      <c r="H112" s="96"/>
      <c r="I112" s="96"/>
      <c r="J112" s="96"/>
      <c r="K112" s="96"/>
    </row>
    <row r="113" spans="1:24" ht="14.25" customHeight="1" x14ac:dyDescent="0.2">
      <c r="D113" s="128"/>
      <c r="H113" s="96"/>
      <c r="I113" s="96"/>
      <c r="J113" s="96"/>
      <c r="K113" s="96"/>
    </row>
    <row r="114" spans="1:24" ht="14.25" customHeight="1" x14ac:dyDescent="0.2">
      <c r="D114" s="50"/>
      <c r="H114" s="96"/>
      <c r="I114" s="96"/>
      <c r="J114" s="96"/>
      <c r="K114" s="96"/>
    </row>
    <row r="115" spans="1:24" ht="14.25" customHeight="1" x14ac:dyDescent="0.2">
      <c r="D115" s="50"/>
      <c r="H115" s="96"/>
      <c r="I115" s="96"/>
      <c r="J115" s="96"/>
      <c r="K115" s="96"/>
    </row>
    <row r="116" spans="1:24" ht="14.25" customHeight="1" x14ac:dyDescent="0.2">
      <c r="A116" s="66"/>
      <c r="B116" s="66"/>
      <c r="C116" s="66"/>
      <c r="D116" s="128"/>
      <c r="E116" s="66"/>
      <c r="F116" s="66"/>
      <c r="G116" s="66"/>
      <c r="H116" s="96"/>
      <c r="I116" s="96"/>
      <c r="J116" s="96"/>
      <c r="K116" s="96"/>
    </row>
    <row r="117" spans="1:24" ht="14.25" customHeight="1" x14ac:dyDescent="0.2">
      <c r="D117" s="128"/>
      <c r="H117" s="96"/>
      <c r="I117" s="96"/>
      <c r="J117" s="96"/>
      <c r="K117" s="96"/>
    </row>
    <row r="118" spans="1:24" ht="14.25" customHeight="1" x14ac:dyDescent="0.2">
      <c r="D118" s="128"/>
      <c r="H118" s="96"/>
      <c r="I118" s="96"/>
      <c r="J118" s="96"/>
      <c r="K118" s="96"/>
    </row>
    <row r="119" spans="1:24" ht="14.25" customHeight="1" x14ac:dyDescent="0.2">
      <c r="D119" s="128"/>
      <c r="H119" s="96"/>
      <c r="I119" s="96"/>
      <c r="J119" s="96"/>
      <c r="K119" s="96"/>
    </row>
    <row r="125" spans="1:24" s="96" customFormat="1" ht="18.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row>
    <row r="127" spans="1:24" s="96" customFormat="1" ht="18.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row>
    <row r="128" spans="1:24" s="96" customFormat="1" ht="14.2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row>
    <row r="129" spans="1:24" s="96" customForma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row>
    <row r="130" spans="1:24" s="96" customForma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row>
    <row r="131" spans="1:24" s="96" customFormat="1" ht="14.2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row>
    <row r="132" spans="1:24" s="96" customForma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row>
    <row r="133" spans="1:24" s="96" customForma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row>
    <row r="134" spans="1:24" s="96" customFormat="1" ht="1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row>
    <row r="136" spans="1:24" s="96" customFormat="1" ht="1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row>
    <row r="137" spans="1:24" s="96" customFormat="1" ht="1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row>
  </sheetData>
  <mergeCells count="172">
    <mergeCell ref="R31:V31"/>
    <mergeCell ref="R32:R33"/>
    <mergeCell ref="N38:P38"/>
    <mergeCell ref="F37:G37"/>
    <mergeCell ref="F33:G33"/>
    <mergeCell ref="F31:G31"/>
    <mergeCell ref="N39:P39"/>
    <mergeCell ref="M99:O99"/>
    <mergeCell ref="A101:C101"/>
    <mergeCell ref="E101:G101"/>
    <mergeCell ref="E81:G81"/>
    <mergeCell ref="I81:K81"/>
    <mergeCell ref="Q70:S70"/>
    <mergeCell ref="U70:V70"/>
    <mergeCell ref="M71:O71"/>
    <mergeCell ref="U72:W72"/>
    <mergeCell ref="A73:C73"/>
    <mergeCell ref="E73:G73"/>
    <mergeCell ref="I73:K73"/>
    <mergeCell ref="U73:V73"/>
    <mergeCell ref="Q66:S66"/>
    <mergeCell ref="U66:W66"/>
    <mergeCell ref="M67:O67"/>
    <mergeCell ref="Q67:R67"/>
    <mergeCell ref="M103:O103"/>
    <mergeCell ref="O28:W28"/>
    <mergeCell ref="N31:P31"/>
    <mergeCell ref="M91:O91"/>
    <mergeCell ref="A93:C93"/>
    <mergeCell ref="E93:G93"/>
    <mergeCell ref="M95:O95"/>
    <mergeCell ref="A97:C97"/>
    <mergeCell ref="E97:G97"/>
    <mergeCell ref="M83:O83"/>
    <mergeCell ref="A85:C85"/>
    <mergeCell ref="E85:G85"/>
    <mergeCell ref="I85:K85"/>
    <mergeCell ref="M87:O87"/>
    <mergeCell ref="A89:C89"/>
    <mergeCell ref="E89:G89"/>
    <mergeCell ref="M28:N29"/>
    <mergeCell ref="F29:G29"/>
    <mergeCell ref="M75:O75"/>
    <mergeCell ref="A77:C77"/>
    <mergeCell ref="E77:G77"/>
    <mergeCell ref="I77:K77"/>
    <mergeCell ref="M79:O79"/>
    <mergeCell ref="A81:C81"/>
    <mergeCell ref="U67:V67"/>
    <mergeCell ref="A69:C69"/>
    <mergeCell ref="E69:G69"/>
    <mergeCell ref="I69:K69"/>
    <mergeCell ref="Q69:S69"/>
    <mergeCell ref="U69:W69"/>
    <mergeCell ref="Q63:S63"/>
    <mergeCell ref="U63:W63"/>
    <mergeCell ref="Q64:R64"/>
    <mergeCell ref="U64:V64"/>
    <mergeCell ref="A65:C65"/>
    <mergeCell ref="E65:G65"/>
    <mergeCell ref="I65:K65"/>
    <mergeCell ref="M63:O63"/>
    <mergeCell ref="N44:V45"/>
    <mergeCell ref="N41:V41"/>
    <mergeCell ref="N42:V42"/>
    <mergeCell ref="N43:U43"/>
    <mergeCell ref="A40:C40"/>
    <mergeCell ref="E40:G40"/>
    <mergeCell ref="E41:G41"/>
    <mergeCell ref="E44:G44"/>
    <mergeCell ref="E43:G43"/>
    <mergeCell ref="F36:G36"/>
    <mergeCell ref="F34:G34"/>
    <mergeCell ref="F35:G35"/>
    <mergeCell ref="A34:A35"/>
    <mergeCell ref="B34:B35"/>
    <mergeCell ref="C34:C35"/>
    <mergeCell ref="D34:D35"/>
    <mergeCell ref="E34:E35"/>
    <mergeCell ref="A61:C61"/>
    <mergeCell ref="E61:G61"/>
    <mergeCell ref="C28:C29"/>
    <mergeCell ref="D28:D29"/>
    <mergeCell ref="E28:E29"/>
    <mergeCell ref="A32:A33"/>
    <mergeCell ref="B32:B33"/>
    <mergeCell ref="C32:C33"/>
    <mergeCell ref="D32:D33"/>
    <mergeCell ref="E32:E33"/>
    <mergeCell ref="A36:A37"/>
    <mergeCell ref="B36:B37"/>
    <mergeCell ref="C36:C37"/>
    <mergeCell ref="D36:D37"/>
    <mergeCell ref="E36:E37"/>
    <mergeCell ref="F32:G32"/>
    <mergeCell ref="A30:A31"/>
    <mergeCell ref="B30:B31"/>
    <mergeCell ref="C30:C31"/>
    <mergeCell ref="D30:D31"/>
    <mergeCell ref="E30:E31"/>
    <mergeCell ref="F30:G30"/>
    <mergeCell ref="F28:G28"/>
    <mergeCell ref="F25:G25"/>
    <mergeCell ref="A26:A27"/>
    <mergeCell ref="B26:B27"/>
    <mergeCell ref="C26:C27"/>
    <mergeCell ref="D26:D27"/>
    <mergeCell ref="E26:E27"/>
    <mergeCell ref="F26:G26"/>
    <mergeCell ref="A24:A25"/>
    <mergeCell ref="B24:B25"/>
    <mergeCell ref="C24:C25"/>
    <mergeCell ref="D24:D25"/>
    <mergeCell ref="E24:E25"/>
    <mergeCell ref="F24:G24"/>
    <mergeCell ref="F27:G27"/>
    <mergeCell ref="A28:A29"/>
    <mergeCell ref="B28:B29"/>
    <mergeCell ref="A18:A19"/>
    <mergeCell ref="B18:B19"/>
    <mergeCell ref="C18:C19"/>
    <mergeCell ref="D18:D19"/>
    <mergeCell ref="E18:E19"/>
    <mergeCell ref="F18:G18"/>
    <mergeCell ref="A22:A23"/>
    <mergeCell ref="B22:B23"/>
    <mergeCell ref="C22:C23"/>
    <mergeCell ref="D22:D23"/>
    <mergeCell ref="E22:E23"/>
    <mergeCell ref="A20:A21"/>
    <mergeCell ref="B20:B21"/>
    <mergeCell ref="C20:C21"/>
    <mergeCell ref="D20:D21"/>
    <mergeCell ref="E20:E21"/>
    <mergeCell ref="Z10:AD11"/>
    <mergeCell ref="F17:G17"/>
    <mergeCell ref="F15:G15"/>
    <mergeCell ref="M1:N2"/>
    <mergeCell ref="J2:K2"/>
    <mergeCell ref="O2:Q3"/>
    <mergeCell ref="R2:T3"/>
    <mergeCell ref="A11:B12"/>
    <mergeCell ref="C12:E13"/>
    <mergeCell ref="F12:H13"/>
    <mergeCell ref="J7:K8"/>
    <mergeCell ref="M7:W7"/>
    <mergeCell ref="C8:H9"/>
    <mergeCell ref="M8:W8"/>
    <mergeCell ref="J9:K9"/>
    <mergeCell ref="J10:K10"/>
    <mergeCell ref="A16:A17"/>
    <mergeCell ref="B16:B17"/>
    <mergeCell ref="C16:C17"/>
    <mergeCell ref="D16:D17"/>
    <mergeCell ref="E16:E17"/>
    <mergeCell ref="F16:G16"/>
    <mergeCell ref="R25:T26"/>
    <mergeCell ref="O25:Q26"/>
    <mergeCell ref="O24:W24"/>
    <mergeCell ref="M24:N25"/>
    <mergeCell ref="D3:G5"/>
    <mergeCell ref="J4:K4"/>
    <mergeCell ref="J5:K5"/>
    <mergeCell ref="M5:W5"/>
    <mergeCell ref="C6:H6"/>
    <mergeCell ref="J6:K6"/>
    <mergeCell ref="M6:W6"/>
    <mergeCell ref="F21:G21"/>
    <mergeCell ref="F20:G20"/>
    <mergeCell ref="F22:G22"/>
    <mergeCell ref="F23:G23"/>
    <mergeCell ref="F19:G19"/>
  </mergeCells>
  <pageMargins left="0.19685039370078741" right="0" top="0" bottom="0" header="0" footer="0"/>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C4D1C-E375-41C3-ADBD-C04C59FCBA36}">
  <sheetPr>
    <pageSetUpPr fitToPage="1"/>
  </sheetPr>
  <dimension ref="A1:BU137"/>
  <sheetViews>
    <sheetView tabSelected="1" topLeftCell="AJ42" zoomScaleNormal="100" zoomScalePageLayoutView="70" workbookViewId="0">
      <selection activeCell="AM36" sqref="AM36:AR59"/>
    </sheetView>
  </sheetViews>
  <sheetFormatPr baseColWidth="10" defaultRowHeight="15" x14ac:dyDescent="0.25"/>
  <cols>
    <col min="1" max="1" width="15.85546875" bestFit="1" customWidth="1"/>
    <col min="2" max="2" width="12" bestFit="1" customWidth="1"/>
    <col min="3" max="3" width="12.5703125" bestFit="1" customWidth="1"/>
    <col min="4" max="4" width="9.85546875" customWidth="1"/>
    <col min="5" max="5" width="6" bestFit="1" customWidth="1"/>
    <col min="6" max="6" width="9.7109375" customWidth="1"/>
    <col min="7" max="7" width="12" customWidth="1"/>
    <col min="8" max="8" width="4.28515625" customWidth="1"/>
    <col min="9" max="9" width="6.140625" bestFit="1" customWidth="1"/>
    <col min="10" max="10" width="13.5703125" customWidth="1"/>
    <col min="11" max="11" width="8.7109375" bestFit="1" customWidth="1"/>
    <col min="12" max="12" width="11.140625" customWidth="1"/>
    <col min="13" max="13" width="9.140625" customWidth="1"/>
    <col min="14" max="14" width="15.85546875" bestFit="1" customWidth="1"/>
    <col min="15" max="15" width="3" bestFit="1" customWidth="1"/>
    <col min="16" max="16" width="13.7109375" bestFit="1" customWidth="1"/>
    <col min="17" max="17" width="13.28515625" bestFit="1" customWidth="1"/>
    <col min="18" max="18" width="10.140625" customWidth="1"/>
    <col min="19" max="19" width="7.42578125" bestFit="1" customWidth="1"/>
    <col min="20" max="20" width="9.42578125" customWidth="1"/>
    <col min="21" max="21" width="10" bestFit="1" customWidth="1"/>
    <col min="22" max="22" width="10.140625" customWidth="1"/>
    <col min="23" max="23" width="10.42578125" bestFit="1" customWidth="1"/>
    <col min="24" max="24" width="10.85546875" customWidth="1"/>
    <col min="25" max="25" width="9" customWidth="1"/>
    <col min="26" max="26" width="7.7109375" bestFit="1" customWidth="1"/>
    <col min="27" max="27" width="8.7109375" bestFit="1" customWidth="1"/>
    <col min="28" max="29" width="9" customWidth="1"/>
    <col min="30" max="31" width="15" bestFit="1" customWidth="1"/>
    <col min="32" max="32" width="10.28515625" bestFit="1" customWidth="1"/>
    <col min="33" max="33" width="19.5703125" bestFit="1" customWidth="1"/>
    <col min="34" max="34" width="9" bestFit="1" customWidth="1"/>
    <col min="35" max="35" width="16" bestFit="1" customWidth="1"/>
    <col min="36" max="36" width="10.85546875" customWidth="1"/>
    <col min="37" max="37" width="19.42578125" bestFit="1" customWidth="1"/>
    <col min="38" max="38" width="10.85546875" customWidth="1"/>
    <col min="39" max="39" width="19.85546875" bestFit="1" customWidth="1"/>
    <col min="40" max="40" width="47.42578125" customWidth="1"/>
    <col min="41" max="46" width="10.85546875" customWidth="1"/>
    <col min="47" max="47" width="7.42578125" style="251" customWidth="1"/>
    <col min="48" max="49" width="6.85546875" style="251" customWidth="1"/>
    <col min="50" max="50" width="2.7109375" style="251" customWidth="1"/>
    <col min="51" max="51" width="10.140625" style="251" bestFit="1" customWidth="1"/>
    <col min="52" max="56" width="17.7109375" style="251" bestFit="1" customWidth="1"/>
    <col min="57" max="57" width="16.28515625" style="251" customWidth="1"/>
    <col min="58" max="58" width="8.140625" style="251" bestFit="1" customWidth="1"/>
    <col min="59" max="59" width="10.28515625" style="255" bestFit="1" customWidth="1"/>
    <col min="60" max="60" width="6.28515625" style="252" bestFit="1" customWidth="1"/>
    <col min="61" max="61" width="6.7109375" style="252" customWidth="1"/>
    <col min="62" max="62" width="2.7109375" customWidth="1"/>
    <col min="73" max="16384" width="11.42578125" style="1"/>
  </cols>
  <sheetData>
    <row r="1" spans="1:73" ht="15" customHeight="1" thickBot="1" x14ac:dyDescent="0.3">
      <c r="M1" s="601" t="s">
        <v>199</v>
      </c>
      <c r="N1" s="601"/>
      <c r="O1" s="246"/>
      <c r="P1" s="246"/>
      <c r="Q1" s="246"/>
      <c r="R1" s="246"/>
      <c r="S1" s="247"/>
      <c r="T1" s="248"/>
      <c r="U1" s="248"/>
      <c r="V1" s="248"/>
      <c r="W1" s="249"/>
      <c r="Y1" s="702" t="s">
        <v>212</v>
      </c>
      <c r="Z1" s="702"/>
      <c r="AA1" s="250"/>
      <c r="AB1" s="250"/>
      <c r="AC1" s="250"/>
      <c r="AD1" s="250"/>
      <c r="AE1" s="250"/>
      <c r="AF1" s="250"/>
      <c r="AG1" s="250"/>
      <c r="AH1" s="250"/>
      <c r="AL1" s="703" t="s">
        <v>261</v>
      </c>
      <c r="AM1" s="704"/>
      <c r="AN1" s="705"/>
      <c r="AO1" s="719" t="s">
        <v>267</v>
      </c>
      <c r="AP1" s="720"/>
      <c r="AQ1" s="720"/>
      <c r="AR1" s="721"/>
      <c r="AY1"/>
      <c r="AZ1"/>
      <c r="BA1" s="204"/>
      <c r="BB1" s="573" t="s">
        <v>5</v>
      </c>
      <c r="BC1" s="573"/>
      <c r="BD1" s="573"/>
      <c r="BE1" s="573"/>
      <c r="BF1" s="573"/>
      <c r="BG1" s="204"/>
      <c r="BH1"/>
      <c r="BJ1" s="635" t="s">
        <v>104</v>
      </c>
      <c r="BK1" s="635"/>
    </row>
    <row r="2" spans="1:73" ht="15" customHeight="1" x14ac:dyDescent="0.25">
      <c r="J2" s="551" t="s">
        <v>389</v>
      </c>
      <c r="K2" s="551"/>
      <c r="L2" s="253"/>
      <c r="M2" s="601"/>
      <c r="N2" s="601"/>
      <c r="O2" s="602" t="s">
        <v>250</v>
      </c>
      <c r="P2" s="603"/>
      <c r="Q2" s="604"/>
      <c r="R2" s="682">
        <f>(100/12*BI13)</f>
        <v>91.666666666666671</v>
      </c>
      <c r="S2" s="683"/>
      <c r="T2" s="684"/>
      <c r="X2" s="253"/>
      <c r="Y2" s="702"/>
      <c r="Z2" s="702"/>
      <c r="AJ2" s="253"/>
      <c r="AK2" s="253"/>
      <c r="AL2" s="706"/>
      <c r="AM2" s="707"/>
      <c r="AN2" s="708"/>
      <c r="AO2" s="722"/>
      <c r="AP2" s="723"/>
      <c r="AQ2" s="723"/>
      <c r="AR2" s="724"/>
      <c r="AS2" s="253"/>
      <c r="AT2" s="253"/>
      <c r="AY2"/>
      <c r="AZ2"/>
      <c r="BA2"/>
      <c r="BB2" s="573"/>
      <c r="BC2" s="573"/>
      <c r="BD2" s="573"/>
      <c r="BE2" s="573"/>
      <c r="BF2" s="573"/>
      <c r="BG2"/>
      <c r="BH2"/>
    </row>
    <row r="3" spans="1:73" ht="15" customHeight="1" thickBot="1" x14ac:dyDescent="0.3">
      <c r="D3" s="558" t="s">
        <v>25</v>
      </c>
      <c r="E3" s="558"/>
      <c r="F3" s="558"/>
      <c r="G3" s="558"/>
      <c r="J3" s="200"/>
      <c r="K3" s="200"/>
      <c r="O3" s="605"/>
      <c r="P3" s="606"/>
      <c r="Q3" s="607"/>
      <c r="R3" s="685"/>
      <c r="S3" s="686"/>
      <c r="T3" s="687"/>
      <c r="Y3" s="238"/>
      <c r="Z3" s="238"/>
      <c r="AN3" s="251"/>
      <c r="AO3" s="251"/>
      <c r="AP3" s="251"/>
      <c r="AY3"/>
      <c r="AZ3" s="184">
        <v>45488.617361111108</v>
      </c>
      <c r="BA3" s="184">
        <v>45488.622916666667</v>
      </c>
      <c r="BB3" s="184">
        <v>45488.711805555555</v>
      </c>
      <c r="BC3" s="184">
        <v>45488.729166666664</v>
      </c>
      <c r="BD3" s="184">
        <v>45488.864583333336</v>
      </c>
      <c r="BE3" s="184">
        <v>45488.938888888886</v>
      </c>
      <c r="BF3"/>
      <c r="BG3"/>
      <c r="BH3"/>
      <c r="BI3"/>
      <c r="BJ3" s="252"/>
      <c r="BU3"/>
    </row>
    <row r="4" spans="1:73" ht="15" customHeight="1" x14ac:dyDescent="0.3">
      <c r="C4" s="201"/>
      <c r="D4" s="558"/>
      <c r="E4" s="558"/>
      <c r="F4" s="558"/>
      <c r="G4" s="558"/>
      <c r="H4" s="201"/>
      <c r="I4" s="201"/>
      <c r="J4" s="559" t="s">
        <v>0</v>
      </c>
      <c r="K4" s="559"/>
      <c r="L4" s="254"/>
      <c r="Q4" s="255"/>
      <c r="X4" s="254"/>
      <c r="Z4" s="647" t="s">
        <v>19</v>
      </c>
      <c r="AA4" s="648"/>
      <c r="AB4" s="649"/>
      <c r="AD4" s="651" t="s">
        <v>51</v>
      </c>
      <c r="AE4" s="652"/>
      <c r="AF4" s="652"/>
      <c r="AG4" s="652"/>
      <c r="AH4" s="653"/>
      <c r="AL4" s="679" t="s">
        <v>261</v>
      </c>
      <c r="AM4" s="679"/>
      <c r="AN4" s="680"/>
      <c r="AO4" s="681" t="s">
        <v>302</v>
      </c>
      <c r="AP4" s="681"/>
      <c r="AQ4" s="681"/>
      <c r="AR4" s="681"/>
      <c r="AS4" s="254"/>
      <c r="AT4" s="254"/>
      <c r="AY4" s="393" t="s">
        <v>11</v>
      </c>
      <c r="AZ4" s="408" t="s">
        <v>6</v>
      </c>
      <c r="BA4" s="409" t="s">
        <v>7</v>
      </c>
      <c r="BB4" s="409" t="s">
        <v>8</v>
      </c>
      <c r="BC4" s="409" t="s">
        <v>9</v>
      </c>
      <c r="BD4" s="409" t="s">
        <v>10</v>
      </c>
      <c r="BE4" s="410" t="s">
        <v>350</v>
      </c>
      <c r="BF4" s="406" t="s">
        <v>332</v>
      </c>
      <c r="BG4" s="327" t="s">
        <v>333</v>
      </c>
      <c r="BH4" s="327" t="s">
        <v>334</v>
      </c>
      <c r="BI4" s="328" t="s">
        <v>46</v>
      </c>
      <c r="BJ4" s="252"/>
      <c r="BL4" s="1" t="s">
        <v>329</v>
      </c>
      <c r="BU4"/>
    </row>
    <row r="5" spans="1:73" ht="15" customHeight="1" x14ac:dyDescent="0.25">
      <c r="B5" s="201"/>
      <c r="C5" s="201"/>
      <c r="D5" s="558"/>
      <c r="E5" s="558"/>
      <c r="F5" s="558"/>
      <c r="G5" s="558"/>
      <c r="H5" s="201"/>
      <c r="I5" s="201"/>
      <c r="J5" s="454" t="s">
        <v>367</v>
      </c>
      <c r="K5" s="454"/>
      <c r="L5" s="255"/>
      <c r="M5" s="596" t="s">
        <v>38</v>
      </c>
      <c r="N5" s="596"/>
      <c r="O5" s="596"/>
      <c r="P5" s="596"/>
      <c r="Q5" s="596"/>
      <c r="R5" s="596"/>
      <c r="S5" s="596"/>
      <c r="T5" s="596"/>
      <c r="U5" s="596"/>
      <c r="V5" s="596"/>
      <c r="W5" s="596"/>
      <c r="X5" s="255"/>
      <c r="Z5" s="239" t="s">
        <v>40</v>
      </c>
      <c r="AA5" s="239" t="s">
        <v>73</v>
      </c>
      <c r="AB5" s="239" t="s">
        <v>121</v>
      </c>
      <c r="AD5" s="654" t="s">
        <v>122</v>
      </c>
      <c r="AE5" s="240" t="s">
        <v>52</v>
      </c>
      <c r="AF5" s="240" t="s">
        <v>106</v>
      </c>
      <c r="AG5" s="240" t="s">
        <v>62</v>
      </c>
      <c r="AH5" s="240" t="s">
        <v>65</v>
      </c>
      <c r="AJ5" s="257"/>
      <c r="AK5" s="257"/>
      <c r="AL5" s="679"/>
      <c r="AM5" s="679"/>
      <c r="AN5" s="680"/>
      <c r="AO5" s="681"/>
      <c r="AP5" s="681"/>
      <c r="AQ5" s="681"/>
      <c r="AR5" s="681"/>
      <c r="AS5" s="255"/>
      <c r="AT5" s="255"/>
      <c r="AY5" s="394" t="s">
        <v>313</v>
      </c>
      <c r="AZ5" s="375">
        <v>2.1527777777777778E-2</v>
      </c>
      <c r="BA5" s="335">
        <v>9.7222222222222224E-3</v>
      </c>
      <c r="BB5" s="335">
        <v>9.7222222222222224E-3</v>
      </c>
      <c r="BC5" s="335">
        <v>1.4583333333333334E-2</v>
      </c>
      <c r="BD5" s="335">
        <v>1.6666666666666666E-2</v>
      </c>
      <c r="BE5" s="336">
        <v>2.6388888888888889E-2</v>
      </c>
      <c r="BF5" s="167">
        <f t="shared" ref="BF5:BF12" si="0">AVERAGE(AZ5:BE5)</f>
        <v>1.6435185185185185E-2</v>
      </c>
      <c r="BG5" s="322">
        <v>4.1666666666666664E-2</v>
      </c>
      <c r="BH5" s="322">
        <v>4.5138888888888888E-2</v>
      </c>
      <c r="BI5" s="329">
        <v>2</v>
      </c>
      <c r="BJ5" s="252"/>
      <c r="BL5" s="1" t="s">
        <v>330</v>
      </c>
      <c r="BU5"/>
    </row>
    <row r="6" spans="1:73" ht="15" customHeight="1" x14ac:dyDescent="0.25">
      <c r="C6" s="570" t="s">
        <v>105</v>
      </c>
      <c r="D6" s="570"/>
      <c r="E6" s="570"/>
      <c r="F6" s="570"/>
      <c r="G6" s="570"/>
      <c r="H6" s="570"/>
      <c r="I6" s="203"/>
      <c r="J6" s="571" t="s">
        <v>31</v>
      </c>
      <c r="K6" s="571"/>
      <c r="L6" s="259"/>
      <c r="M6" s="596" t="s">
        <v>39</v>
      </c>
      <c r="N6" s="596"/>
      <c r="O6" s="596"/>
      <c r="P6" s="596"/>
      <c r="Q6" s="596"/>
      <c r="R6" s="596"/>
      <c r="S6" s="596"/>
      <c r="T6" s="596"/>
      <c r="U6" s="596"/>
      <c r="V6" s="596"/>
      <c r="W6" s="596"/>
      <c r="X6" s="259"/>
      <c r="Z6" s="258">
        <v>10</v>
      </c>
      <c r="AA6" s="258">
        <v>10</v>
      </c>
      <c r="AB6" s="258" t="s">
        <v>144</v>
      </c>
      <c r="AD6" s="655"/>
      <c r="AE6" s="241" t="s">
        <v>50</v>
      </c>
      <c r="AF6" s="241" t="s">
        <v>50</v>
      </c>
      <c r="AG6" s="241" t="s">
        <v>50</v>
      </c>
      <c r="AH6" s="241" t="s">
        <v>50</v>
      </c>
      <c r="AJ6" s="257"/>
      <c r="AK6" s="257"/>
      <c r="AL6" s="257"/>
      <c r="AM6" s="257"/>
      <c r="AN6" s="257"/>
      <c r="AO6" s="257"/>
      <c r="AP6" s="257"/>
      <c r="AQ6" s="259"/>
      <c r="AR6" s="259"/>
      <c r="AS6" s="259"/>
      <c r="AT6" s="259"/>
      <c r="AY6" s="394" t="s">
        <v>214</v>
      </c>
      <c r="AZ6" s="375">
        <v>7.7777777777777779E-2</v>
      </c>
      <c r="BA6" s="338">
        <v>0.11319444444444444</v>
      </c>
      <c r="BB6" s="338">
        <v>7.9166666666666663E-2</v>
      </c>
      <c r="BC6" s="338">
        <v>5.1388888888888887E-2</v>
      </c>
      <c r="BD6" s="338">
        <v>9.8611111111111108E-2</v>
      </c>
      <c r="BE6" s="336">
        <v>5.6250000000000001E-2</v>
      </c>
      <c r="BF6" s="167">
        <f t="shared" si="0"/>
        <v>7.9398148148148148E-2</v>
      </c>
      <c r="BG6" s="322">
        <v>8.3333333333333329E-2</v>
      </c>
      <c r="BH6" s="322">
        <v>0.10416666666666667</v>
      </c>
      <c r="BI6" s="899">
        <v>2</v>
      </c>
      <c r="BJ6" s="252"/>
      <c r="BL6" s="1" t="s">
        <v>331</v>
      </c>
      <c r="BU6"/>
    </row>
    <row r="7" spans="1:73" ht="15" customHeight="1" x14ac:dyDescent="0.25">
      <c r="J7" s="572">
        <f>(F12+R2+R28)/3</f>
        <v>75.742222222222225</v>
      </c>
      <c r="K7" s="572"/>
      <c r="L7" s="260"/>
      <c r="M7" s="596" t="s">
        <v>28</v>
      </c>
      <c r="N7" s="596"/>
      <c r="O7" s="596"/>
      <c r="P7" s="596"/>
      <c r="Q7" s="596"/>
      <c r="R7" s="596"/>
      <c r="S7" s="596"/>
      <c r="T7" s="596"/>
      <c r="U7" s="596"/>
      <c r="V7" s="596"/>
      <c r="W7" s="596"/>
      <c r="X7" s="260"/>
      <c r="Z7" s="242" t="s">
        <v>257</v>
      </c>
      <c r="AA7" s="242" t="s">
        <v>55</v>
      </c>
      <c r="AB7" s="242" t="s">
        <v>42</v>
      </c>
      <c r="AD7" s="258">
        <v>2</v>
      </c>
      <c r="AE7" s="258">
        <v>2</v>
      </c>
      <c r="AF7" s="258">
        <v>2</v>
      </c>
      <c r="AG7" s="258">
        <v>2</v>
      </c>
      <c r="AH7" s="258">
        <v>2</v>
      </c>
      <c r="AJ7" s="257"/>
      <c r="AK7" s="257"/>
      <c r="AL7" s="257"/>
      <c r="AM7" s="257"/>
      <c r="AN7" s="257"/>
      <c r="AO7" s="257"/>
      <c r="AP7" s="257"/>
      <c r="AQ7" s="260"/>
      <c r="AR7" s="260"/>
      <c r="AS7" s="260"/>
      <c r="AT7" s="260"/>
      <c r="AY7" s="394" t="s">
        <v>213</v>
      </c>
      <c r="AZ7" s="375">
        <v>6.25E-2</v>
      </c>
      <c r="BA7" s="338">
        <v>7.2222222222222215E-2</v>
      </c>
      <c r="BB7" s="338">
        <v>6.8750000000000006E-2</v>
      </c>
      <c r="BC7" s="338">
        <v>0.10069444444444445</v>
      </c>
      <c r="BD7" s="338">
        <v>0.21944444444444444</v>
      </c>
      <c r="BE7" s="336">
        <v>0.10069444444444445</v>
      </c>
      <c r="BF7" s="167">
        <f t="shared" si="0"/>
        <v>0.10405092592592592</v>
      </c>
      <c r="BG7" s="322">
        <v>0.1875</v>
      </c>
      <c r="BH7" s="322">
        <v>0.20833333333333334</v>
      </c>
      <c r="BI7" s="899">
        <v>2</v>
      </c>
      <c r="BJ7" s="252"/>
      <c r="BU7"/>
    </row>
    <row r="8" spans="1:73" ht="15" customHeight="1" x14ac:dyDescent="0.25">
      <c r="C8" s="573" t="s">
        <v>30</v>
      </c>
      <c r="D8" s="573"/>
      <c r="E8" s="573"/>
      <c r="F8" s="573"/>
      <c r="G8" s="573"/>
      <c r="H8" s="573"/>
      <c r="I8" s="204"/>
      <c r="J8" s="572"/>
      <c r="K8" s="572"/>
      <c r="L8" s="261"/>
      <c r="M8" s="596" t="s">
        <v>29</v>
      </c>
      <c r="N8" s="596"/>
      <c r="O8" s="596"/>
      <c r="P8" s="596"/>
      <c r="Q8" s="596"/>
      <c r="R8" s="596"/>
      <c r="S8" s="596"/>
      <c r="T8" s="596"/>
      <c r="U8" s="596"/>
      <c r="V8" s="596"/>
      <c r="W8" s="596"/>
      <c r="X8" s="261"/>
      <c r="Z8" s="258">
        <v>10</v>
      </c>
      <c r="AA8" s="258">
        <v>10</v>
      </c>
      <c r="AB8" s="258">
        <v>10</v>
      </c>
      <c r="AE8" s="243"/>
      <c r="AJ8" s="257"/>
      <c r="AK8" s="257"/>
      <c r="AL8" s="257"/>
      <c r="AM8" s="257"/>
      <c r="AN8" s="257"/>
      <c r="AO8" s="257"/>
      <c r="AP8" s="257"/>
      <c r="AQ8" s="261"/>
      <c r="AR8" s="261"/>
      <c r="AS8" s="261"/>
      <c r="AT8" s="261"/>
      <c r="AY8" s="395" t="s">
        <v>215</v>
      </c>
      <c r="AZ8" s="401">
        <v>0.1423611111111111</v>
      </c>
      <c r="BA8" s="341">
        <v>0.21041666666666667</v>
      </c>
      <c r="BB8" s="341">
        <v>0.12777777777777777</v>
      </c>
      <c r="BC8" s="341">
        <v>0.26111111111111113</v>
      </c>
      <c r="BD8" s="341">
        <v>0.1763888888888889</v>
      </c>
      <c r="BE8" s="342">
        <v>0.14444444444444443</v>
      </c>
      <c r="BF8" s="413">
        <f t="shared" si="0"/>
        <v>0.17708333333333334</v>
      </c>
      <c r="BG8" s="323">
        <v>0.22916666666666666</v>
      </c>
      <c r="BH8" s="323">
        <v>0.27083333333333331</v>
      </c>
      <c r="BI8" s="899">
        <v>2</v>
      </c>
      <c r="BJ8" s="252"/>
      <c r="BU8"/>
    </row>
    <row r="9" spans="1:73" ht="15" customHeight="1" x14ac:dyDescent="0.25">
      <c r="C9" s="573"/>
      <c r="D9" s="573"/>
      <c r="E9" s="573"/>
      <c r="F9" s="573"/>
      <c r="G9" s="573"/>
      <c r="H9" s="573"/>
      <c r="I9" s="204"/>
      <c r="J9" s="574" t="s">
        <v>108</v>
      </c>
      <c r="K9" s="574"/>
      <c r="M9" s="245"/>
      <c r="N9" s="245"/>
      <c r="O9" s="245"/>
      <c r="P9" s="245"/>
      <c r="Q9" s="245"/>
      <c r="R9" s="245"/>
      <c r="S9" s="245"/>
      <c r="T9" s="245"/>
      <c r="U9" s="245"/>
      <c r="V9" s="245"/>
      <c r="W9" s="257"/>
      <c r="Z9" s="242" t="s">
        <v>43</v>
      </c>
      <c r="AA9" s="242" t="s">
        <v>44</v>
      </c>
      <c r="AB9" s="242" t="s">
        <v>244</v>
      </c>
      <c r="AC9" s="242" t="s">
        <v>262</v>
      </c>
      <c r="AJ9" s="257"/>
      <c r="AK9" s="257"/>
      <c r="AL9" s="257"/>
      <c r="AM9" s="257"/>
      <c r="AN9" s="257"/>
      <c r="AO9" s="257"/>
      <c r="AP9" s="257"/>
      <c r="AQ9" s="251"/>
      <c r="AR9" s="251"/>
      <c r="AS9" s="251"/>
      <c r="AT9" s="251"/>
      <c r="AY9" s="395" t="s">
        <v>308</v>
      </c>
      <c r="AZ9" s="401">
        <v>0.22083333333333333</v>
      </c>
      <c r="BA9" s="341">
        <v>0.24652777777777779</v>
      </c>
      <c r="BB9" s="341">
        <v>0.21666666666666667</v>
      </c>
      <c r="BC9" s="341">
        <v>0.22152777777777777</v>
      </c>
      <c r="BD9" s="341">
        <v>0.63749999999999996</v>
      </c>
      <c r="BE9" s="342">
        <v>0.21805555555555556</v>
      </c>
      <c r="BF9" s="413">
        <f t="shared" si="0"/>
        <v>0.29351851851851851</v>
      </c>
      <c r="BG9" s="323">
        <v>0.29166666666666669</v>
      </c>
      <c r="BH9" s="323">
        <v>0.35416666666666669</v>
      </c>
      <c r="BI9" s="899">
        <v>1</v>
      </c>
      <c r="BU9"/>
    </row>
    <row r="10" spans="1:73" ht="15" customHeight="1" x14ac:dyDescent="0.35">
      <c r="H10" s="205"/>
      <c r="I10" s="205"/>
      <c r="J10" s="560">
        <v>52.96</v>
      </c>
      <c r="K10" s="561"/>
      <c r="Z10" s="258">
        <v>10</v>
      </c>
      <c r="AA10" s="258">
        <v>10</v>
      </c>
      <c r="AB10" s="258">
        <v>10</v>
      </c>
      <c r="AC10" s="258">
        <v>10</v>
      </c>
      <c r="AK10" s="257"/>
      <c r="AL10" s="257"/>
      <c r="AM10" s="257"/>
      <c r="AN10" s="257"/>
      <c r="AO10" s="257"/>
      <c r="AP10" s="257"/>
      <c r="AQ10" s="251"/>
      <c r="AR10" s="251"/>
      <c r="AS10" s="255"/>
      <c r="AT10" s="252"/>
      <c r="AU10" s="252"/>
      <c r="AV10"/>
      <c r="AW10"/>
      <c r="AX10"/>
      <c r="AY10" s="396" t="s">
        <v>37</v>
      </c>
      <c r="AZ10" s="402">
        <v>8.6805555555555552E-2</v>
      </c>
      <c r="BA10" s="343">
        <v>6.25E-2</v>
      </c>
      <c r="BB10" s="343">
        <v>5.9027777777777776E-2</v>
      </c>
      <c r="BC10" s="343">
        <v>8.8888888888888892E-2</v>
      </c>
      <c r="BD10" s="343">
        <v>5.4166666666666669E-2</v>
      </c>
      <c r="BE10" s="344">
        <v>7.2222222222222215E-2</v>
      </c>
      <c r="BF10" s="414">
        <f t="shared" si="0"/>
        <v>7.0601851851851846E-2</v>
      </c>
      <c r="BG10" s="324">
        <v>8.3333333333333329E-2</v>
      </c>
      <c r="BH10" s="324">
        <v>9.375E-2</v>
      </c>
      <c r="BI10" s="329">
        <v>2</v>
      </c>
      <c r="BU10"/>
    </row>
    <row r="11" spans="1:73" ht="15" customHeight="1" thickBot="1" x14ac:dyDescent="0.4">
      <c r="A11" s="563" t="s">
        <v>198</v>
      </c>
      <c r="B11" s="563"/>
      <c r="C11" s="262"/>
      <c r="D11" s="262"/>
      <c r="E11" s="262"/>
      <c r="F11" s="262"/>
      <c r="G11" s="262"/>
      <c r="H11" s="206"/>
      <c r="I11" s="206"/>
      <c r="J11" s="207"/>
      <c r="K11" s="207"/>
      <c r="Z11" s="656" t="s">
        <v>245</v>
      </c>
      <c r="AA11" s="657"/>
      <c r="AB11" s="658"/>
      <c r="AK11" s="257"/>
      <c r="AL11" s="257"/>
      <c r="AM11" s="257"/>
      <c r="AN11" s="257"/>
      <c r="AO11" s="257"/>
      <c r="AP11" s="257"/>
      <c r="AQ11" s="251"/>
      <c r="AR11" s="251"/>
      <c r="AS11" s="251"/>
      <c r="AT11" s="251"/>
      <c r="AY11" s="397" t="s">
        <v>17</v>
      </c>
      <c r="AZ11" s="404">
        <v>2</v>
      </c>
      <c r="BA11" s="345">
        <v>2</v>
      </c>
      <c r="BB11" s="345">
        <v>1</v>
      </c>
      <c r="BC11" s="345">
        <v>2</v>
      </c>
      <c r="BD11" s="345">
        <v>2</v>
      </c>
      <c r="BE11" s="346">
        <v>2</v>
      </c>
      <c r="BF11" s="325">
        <f t="shared" si="0"/>
        <v>1.8333333333333333</v>
      </c>
      <c r="BG11" s="326"/>
      <c r="BH11" s="325"/>
      <c r="BI11" s="330"/>
      <c r="BU11"/>
    </row>
    <row r="12" spans="1:73" ht="15" customHeight="1" thickBot="1" x14ac:dyDescent="0.3">
      <c r="A12" s="563"/>
      <c r="B12" s="563"/>
      <c r="C12" s="564" t="s">
        <v>248</v>
      </c>
      <c r="D12" s="564"/>
      <c r="E12" s="564"/>
      <c r="F12" s="608">
        <f>100-20</f>
        <v>80</v>
      </c>
      <c r="G12" s="565"/>
      <c r="H12" s="609"/>
      <c r="I12" s="255"/>
      <c r="J12" s="255"/>
      <c r="Z12" s="678">
        <f>AVERAGE(Z6,AA6,AA8,AA10,AB10,Z10,AB8,Z8,AC10)*10</f>
        <v>100</v>
      </c>
      <c r="AA12" s="678"/>
      <c r="AB12" s="678"/>
      <c r="AJ12" s="257"/>
      <c r="AK12" s="257"/>
      <c r="AL12" s="257"/>
      <c r="AM12" s="257"/>
      <c r="AN12" s="257"/>
      <c r="AO12" s="257"/>
      <c r="AP12" s="257"/>
      <c r="AY12" s="398" t="s">
        <v>216</v>
      </c>
      <c r="AZ12" s="405">
        <v>3.951388888888889E-2</v>
      </c>
      <c r="BA12" s="347">
        <v>3.8483796296296294E-2</v>
      </c>
      <c r="BB12" s="347">
        <v>2.2025462962962962E-2</v>
      </c>
      <c r="BC12" s="348">
        <v>1.9884259259259258E-2</v>
      </c>
      <c r="BD12" s="348">
        <v>3.9849537037037037E-2</v>
      </c>
      <c r="BE12" s="349">
        <v>1.9629629629629629E-2</v>
      </c>
      <c r="BF12" s="415">
        <f t="shared" si="0"/>
        <v>2.9897762345679011E-2</v>
      </c>
      <c r="BG12" s="331">
        <v>3.4722222222222224E-2</v>
      </c>
      <c r="BH12" s="331"/>
      <c r="BI12" s="332"/>
      <c r="BJ12" s="252"/>
      <c r="BU12"/>
    </row>
    <row r="13" spans="1:73" ht="15" customHeight="1" thickBot="1" x14ac:dyDescent="0.3">
      <c r="C13" s="564"/>
      <c r="D13" s="564"/>
      <c r="E13" s="564"/>
      <c r="F13" s="610"/>
      <c r="G13" s="611"/>
      <c r="H13" s="612"/>
      <c r="I13" s="255"/>
      <c r="J13" s="255"/>
      <c r="L13" s="257"/>
      <c r="W13" s="257"/>
      <c r="Z13" s="244"/>
      <c r="AA13" s="244"/>
      <c r="AB13" s="244"/>
      <c r="AI13" s="257"/>
      <c r="AJ13" s="257"/>
      <c r="AK13" s="257"/>
      <c r="AL13" s="257"/>
      <c r="AM13" s="257"/>
      <c r="AN13" s="257"/>
      <c r="AO13" s="257"/>
      <c r="AP13" s="257"/>
      <c r="AQ13" s="257"/>
      <c r="AR13" s="257"/>
      <c r="AS13" s="257"/>
      <c r="AT13" s="251"/>
      <c r="AY13" s="350"/>
      <c r="AZ13" s="350"/>
      <c r="BA13" s="350"/>
      <c r="BB13" s="350"/>
      <c r="BC13" s="350"/>
      <c r="BD13" s="350"/>
      <c r="BE13" s="350"/>
      <c r="BF13" s="350"/>
      <c r="BH13" s="351" t="s">
        <v>131</v>
      </c>
      <c r="BI13" s="352">
        <f>SUM(BI5:BI10)</f>
        <v>11</v>
      </c>
    </row>
    <row r="14" spans="1:73" x14ac:dyDescent="0.25">
      <c r="L14" s="257"/>
      <c r="W14" s="257"/>
      <c r="Z14" s="634" t="s">
        <v>404</v>
      </c>
      <c r="AA14" s="634"/>
      <c r="AB14" s="634"/>
      <c r="AC14" s="634"/>
      <c r="AD14" s="634"/>
      <c r="AE14" s="634"/>
      <c r="AF14" s="634"/>
      <c r="AG14" s="634"/>
      <c r="AH14" s="634"/>
      <c r="AP14" s="257"/>
      <c r="AQ14" s="257"/>
      <c r="AR14" s="257"/>
      <c r="AS14" s="257"/>
      <c r="AT14" s="251"/>
      <c r="BF14" s="255"/>
      <c r="BG14" s="252"/>
      <c r="BI14"/>
    </row>
    <row r="15" spans="1:73" ht="15.75" thickBot="1" x14ac:dyDescent="0.3">
      <c r="A15" s="208" t="s">
        <v>1</v>
      </c>
      <c r="B15" s="209" t="s">
        <v>3</v>
      </c>
      <c r="C15" s="209" t="s">
        <v>4</v>
      </c>
      <c r="D15" s="209" t="s">
        <v>12</v>
      </c>
      <c r="E15" s="210" t="s">
        <v>131</v>
      </c>
      <c r="F15" s="600" t="s">
        <v>59</v>
      </c>
      <c r="G15" s="670"/>
      <c r="J15" s="227"/>
      <c r="K15" s="227"/>
      <c r="L15" s="257"/>
      <c r="W15" s="257"/>
      <c r="Y15" s="253"/>
      <c r="Z15" s="634"/>
      <c r="AA15" s="634"/>
      <c r="AB15" s="634"/>
      <c r="AC15" s="634"/>
      <c r="AD15" s="634"/>
      <c r="AE15" s="634"/>
      <c r="AF15" s="634"/>
      <c r="AG15" s="634"/>
      <c r="AH15" s="634"/>
      <c r="AI15" s="255"/>
      <c r="AJ15" s="255"/>
      <c r="AK15" s="255"/>
      <c r="AL15" s="255"/>
      <c r="AM15" s="255"/>
      <c r="AN15" s="255"/>
      <c r="AO15" s="255"/>
      <c r="AP15" s="257"/>
      <c r="AQ15" s="257"/>
      <c r="AR15" s="257"/>
      <c r="AS15" s="257"/>
      <c r="AT15" s="251"/>
      <c r="BF15" s="255"/>
      <c r="BG15" s="252"/>
      <c r="BI15"/>
    </row>
    <row r="16" spans="1:73" ht="14.25" customHeight="1" x14ac:dyDescent="0.25">
      <c r="A16" s="618" t="s">
        <v>63</v>
      </c>
      <c r="B16" s="620">
        <f>100-O66</f>
        <v>100</v>
      </c>
      <c r="C16" s="620">
        <f>100-O65</f>
        <v>100</v>
      </c>
      <c r="D16" s="622"/>
      <c r="E16" s="624">
        <f>SUM(B16:D17)-100</f>
        <v>100</v>
      </c>
      <c r="F16" s="671"/>
      <c r="G16" s="627"/>
      <c r="J16" s="267"/>
      <c r="K16" s="267"/>
      <c r="L16" s="257"/>
      <c r="T16" t="s">
        <v>134</v>
      </c>
      <c r="W16" s="257"/>
      <c r="Y16" s="268"/>
      <c r="Z16" s="634"/>
      <c r="AA16" s="634"/>
      <c r="AB16" s="634"/>
      <c r="AC16" s="634"/>
      <c r="AD16" s="634"/>
      <c r="AE16" s="634"/>
      <c r="AF16" s="634"/>
      <c r="AG16" s="634"/>
      <c r="AH16" s="634"/>
      <c r="AI16" s="255"/>
      <c r="AJ16" s="255"/>
      <c r="AK16" s="255"/>
      <c r="AL16" s="255"/>
      <c r="AM16" s="255"/>
      <c r="AN16" s="255"/>
      <c r="AO16" s="255"/>
      <c r="AP16" s="257"/>
      <c r="AQ16" s="257"/>
      <c r="AR16" s="257"/>
      <c r="AS16" s="257"/>
      <c r="AT16" s="251"/>
      <c r="BF16" s="255"/>
      <c r="BG16" s="252"/>
      <c r="BI16"/>
    </row>
    <row r="17" spans="1:61" ht="15" customHeight="1" thickBot="1" x14ac:dyDescent="0.3">
      <c r="A17" s="619"/>
      <c r="B17" s="621"/>
      <c r="C17" s="621"/>
      <c r="D17" s="623"/>
      <c r="E17" s="625"/>
      <c r="F17" s="664"/>
      <c r="G17" s="598"/>
      <c r="J17" s="267"/>
      <c r="K17" s="267"/>
      <c r="L17" s="257"/>
      <c r="W17" s="257"/>
      <c r="X17" s="268"/>
      <c r="Y17" s="268"/>
      <c r="Z17" s="634"/>
      <c r="AA17" s="634"/>
      <c r="AB17" s="634"/>
      <c r="AC17" s="634"/>
      <c r="AD17" s="634"/>
      <c r="AE17" s="634"/>
      <c r="AF17" s="634"/>
      <c r="AG17" s="634"/>
      <c r="AH17" s="634"/>
      <c r="AP17" s="257"/>
      <c r="AQ17" s="257"/>
      <c r="AR17" s="257"/>
      <c r="AS17" s="257"/>
      <c r="AT17" s="251"/>
      <c r="BF17" s="255"/>
      <c r="BG17" s="252"/>
      <c r="BI17"/>
    </row>
    <row r="18" spans="1:61" ht="14.25" customHeight="1" x14ac:dyDescent="0.25">
      <c r="A18" s="618" t="s">
        <v>53</v>
      </c>
      <c r="B18" s="620">
        <f>100-O70</f>
        <v>100</v>
      </c>
      <c r="C18" s="620">
        <f>100-O69</f>
        <v>80</v>
      </c>
      <c r="D18" s="622">
        <f>100-O71</f>
        <v>100</v>
      </c>
      <c r="E18" s="624">
        <f>SUM(B18:D19)-200</f>
        <v>80</v>
      </c>
      <c r="F18" s="664"/>
      <c r="G18" s="598"/>
      <c r="J18" s="267"/>
      <c r="K18" s="267"/>
      <c r="X18" s="268"/>
      <c r="Y18" s="268"/>
      <c r="Z18" s="634"/>
      <c r="AA18" s="634"/>
      <c r="AB18" s="634"/>
      <c r="AC18" s="634"/>
      <c r="AD18" s="634"/>
      <c r="AE18" s="634"/>
      <c r="AF18" s="634"/>
      <c r="AG18" s="634"/>
      <c r="AH18" s="634"/>
      <c r="AI18" s="269"/>
      <c r="AJ18" s="269"/>
      <c r="AK18" s="269"/>
      <c r="AL18" s="269"/>
      <c r="AM18" s="269"/>
      <c r="AN18" s="269"/>
      <c r="AO18" s="269"/>
      <c r="AP18" s="257"/>
      <c r="AQ18" s="257"/>
      <c r="AR18" s="257"/>
      <c r="AS18" s="257"/>
      <c r="AT18" s="251"/>
      <c r="BF18" s="255"/>
      <c r="BG18" s="252"/>
      <c r="BI18"/>
    </row>
    <row r="19" spans="1:61" ht="15" customHeight="1" thickBot="1" x14ac:dyDescent="0.3">
      <c r="A19" s="619"/>
      <c r="B19" s="621"/>
      <c r="C19" s="621"/>
      <c r="D19" s="623"/>
      <c r="E19" s="625"/>
      <c r="F19" s="668" t="s">
        <v>401</v>
      </c>
      <c r="G19" s="669"/>
      <c r="J19" s="267"/>
      <c r="K19" s="267"/>
      <c r="L19" s="255"/>
      <c r="W19" s="255"/>
      <c r="X19" s="268"/>
      <c r="Y19" s="268"/>
      <c r="Z19" s="268"/>
      <c r="AA19" s="268"/>
      <c r="AB19" s="268"/>
      <c r="AC19" s="268"/>
      <c r="AD19" s="268"/>
      <c r="AE19" s="268"/>
      <c r="AF19" s="268"/>
      <c r="AG19" s="268"/>
      <c r="AH19" s="268"/>
      <c r="AI19" s="271"/>
      <c r="AJ19" s="271"/>
      <c r="AK19" s="271"/>
      <c r="AL19" s="271"/>
      <c r="AM19" s="271"/>
      <c r="AN19" s="271"/>
      <c r="AO19" s="271"/>
      <c r="AP19" s="257"/>
      <c r="AQ19" s="257"/>
      <c r="AR19" s="257"/>
      <c r="AS19" s="257"/>
      <c r="AT19" s="251"/>
      <c r="BF19" s="255"/>
      <c r="BG19" s="252"/>
      <c r="BI19"/>
    </row>
    <row r="20" spans="1:61" ht="15" customHeight="1" x14ac:dyDescent="0.25">
      <c r="A20" s="618" t="s">
        <v>60</v>
      </c>
      <c r="B20" s="620">
        <f>100-O74</f>
        <v>100</v>
      </c>
      <c r="C20" s="620">
        <f>100-O73</f>
        <v>100</v>
      </c>
      <c r="D20" s="622">
        <f>100-O75</f>
        <v>100</v>
      </c>
      <c r="E20" s="631">
        <f>SUM(B20:D21)-200</f>
        <v>100</v>
      </c>
      <c r="F20" s="664"/>
      <c r="G20" s="598"/>
      <c r="J20" s="272"/>
      <c r="K20" s="272"/>
      <c r="L20" s="255"/>
      <c r="W20" s="255"/>
      <c r="Y20" s="265"/>
      <c r="Z20" s="265"/>
      <c r="AA20" s="265"/>
      <c r="AB20" s="265"/>
      <c r="AC20" s="265"/>
      <c r="AD20" s="265"/>
      <c r="AE20" s="265"/>
      <c r="AF20" s="265"/>
      <c r="AG20" s="265"/>
      <c r="AI20" s="257"/>
      <c r="AO20" s="257"/>
      <c r="AP20" s="257"/>
      <c r="AQ20" s="257"/>
      <c r="AR20" s="257"/>
      <c r="AS20" s="257"/>
      <c r="AT20" s="251"/>
      <c r="BF20" s="255"/>
      <c r="BG20" s="252"/>
      <c r="BI20"/>
    </row>
    <row r="21" spans="1:61" ht="15" customHeight="1" thickBot="1" x14ac:dyDescent="0.3">
      <c r="A21" s="619"/>
      <c r="B21" s="621"/>
      <c r="C21" s="621"/>
      <c r="D21" s="623"/>
      <c r="E21" s="625"/>
      <c r="F21" s="664"/>
      <c r="G21" s="598"/>
      <c r="J21" s="267"/>
      <c r="K21" s="267"/>
      <c r="AA21" s="257"/>
      <c r="AB21" s="257"/>
      <c r="AC21" s="257"/>
      <c r="AD21" s="257"/>
      <c r="AE21" s="257"/>
      <c r="AF21" s="257"/>
      <c r="AG21" s="257"/>
      <c r="AH21" s="257"/>
      <c r="AI21" s="270"/>
      <c r="AO21" s="270"/>
      <c r="AP21" s="257"/>
      <c r="AQ21" s="257"/>
      <c r="AR21" s="257"/>
      <c r="AS21" s="257"/>
      <c r="AT21" s="251"/>
      <c r="BF21" s="255"/>
      <c r="BG21" s="252"/>
      <c r="BI21"/>
    </row>
    <row r="22" spans="1:61" ht="15" customHeight="1" x14ac:dyDescent="0.25">
      <c r="A22" s="628" t="s">
        <v>66</v>
      </c>
      <c r="B22" s="620">
        <f>100-O78</f>
        <v>100</v>
      </c>
      <c r="C22" s="620">
        <f>100-O77</f>
        <v>100</v>
      </c>
      <c r="D22" s="622">
        <f>100-O79</f>
        <v>100</v>
      </c>
      <c r="E22" s="631">
        <f>SUM(B22:D23)-200</f>
        <v>100</v>
      </c>
      <c r="F22" s="597"/>
      <c r="G22" s="598"/>
      <c r="J22" s="267"/>
      <c r="K22" s="267"/>
      <c r="L22" s="269"/>
      <c r="X22" s="269"/>
      <c r="Y22" s="269"/>
      <c r="Z22" s="269"/>
      <c r="AA22" s="269"/>
      <c r="AO22" s="270"/>
      <c r="AP22" s="270"/>
    </row>
    <row r="23" spans="1:61" ht="15" customHeight="1" thickBot="1" x14ac:dyDescent="0.3">
      <c r="A23" s="628"/>
      <c r="B23" s="629"/>
      <c r="C23" s="629"/>
      <c r="D23" s="630"/>
      <c r="E23" s="625"/>
      <c r="F23" s="597"/>
      <c r="G23" s="598"/>
      <c r="J23" s="267"/>
      <c r="K23" s="267"/>
      <c r="L23" s="269"/>
      <c r="V23" s="212"/>
      <c r="W23" s="273"/>
      <c r="X23" s="269"/>
      <c r="Y23" s="269"/>
      <c r="Z23" s="269"/>
      <c r="AA23" s="269"/>
      <c r="AO23" s="270"/>
      <c r="AP23" s="270"/>
    </row>
    <row r="24" spans="1:61" ht="15" customHeight="1" x14ac:dyDescent="0.25">
      <c r="A24" s="628" t="s">
        <v>269</v>
      </c>
      <c r="B24" s="620">
        <f>100-O82</f>
        <v>100</v>
      </c>
      <c r="C24" s="620">
        <f>100-O81</f>
        <v>100</v>
      </c>
      <c r="D24" s="620">
        <f>100-O83</f>
        <v>100</v>
      </c>
      <c r="E24" s="631">
        <f>SUM(B24:D25)-200</f>
        <v>100</v>
      </c>
      <c r="F24" s="664"/>
      <c r="G24" s="598"/>
      <c r="J24" s="636"/>
      <c r="K24" s="636"/>
      <c r="L24" s="269"/>
      <c r="V24" s="212"/>
      <c r="W24" s="273"/>
      <c r="X24" s="269"/>
      <c r="Y24" s="269"/>
      <c r="AG24" s="253"/>
      <c r="AH24" s="253"/>
      <c r="AO24" s="270"/>
      <c r="AP24" s="270"/>
    </row>
    <row r="25" spans="1:61" ht="15" customHeight="1" thickBot="1" x14ac:dyDescent="0.3">
      <c r="A25" s="628"/>
      <c r="B25" s="629"/>
      <c r="C25" s="629"/>
      <c r="D25" s="629"/>
      <c r="E25" s="625"/>
      <c r="F25" s="664"/>
      <c r="G25" s="598"/>
      <c r="J25" s="636"/>
      <c r="K25" s="636"/>
      <c r="L25" s="269"/>
      <c r="V25" s="212"/>
      <c r="W25" s="273"/>
      <c r="X25" s="269"/>
      <c r="Y25" s="269"/>
      <c r="AG25" s="274"/>
      <c r="AH25" s="274"/>
      <c r="AO25" s="270"/>
      <c r="AP25" s="270"/>
    </row>
    <row r="26" spans="1:61" ht="15" customHeight="1" x14ac:dyDescent="0.25">
      <c r="A26" s="628" t="s">
        <v>270</v>
      </c>
      <c r="B26" s="620">
        <f>100-O86</f>
        <v>90</v>
      </c>
      <c r="C26" s="620">
        <f>100-O85</f>
        <v>100</v>
      </c>
      <c r="D26" s="620">
        <f>100-O87</f>
        <v>90</v>
      </c>
      <c r="E26" s="631">
        <f>SUM(B26:D27)-200</f>
        <v>80</v>
      </c>
      <c r="F26" s="664" t="s">
        <v>402</v>
      </c>
      <c r="G26" s="598"/>
      <c r="J26" s="664"/>
      <c r="K26" s="664"/>
      <c r="L26" s="269"/>
      <c r="W26" s="253"/>
      <c r="X26" s="269"/>
      <c r="Y26" s="269"/>
      <c r="AG26" s="253"/>
      <c r="AH26" s="253"/>
      <c r="AO26" s="270"/>
      <c r="AP26" s="270"/>
    </row>
    <row r="27" spans="1:61" ht="15.75" thickBot="1" x14ac:dyDescent="0.3">
      <c r="A27" s="628"/>
      <c r="B27" s="629"/>
      <c r="C27" s="629"/>
      <c r="D27" s="629"/>
      <c r="E27" s="625"/>
      <c r="F27" s="664"/>
      <c r="G27" s="598"/>
      <c r="J27" s="636"/>
      <c r="K27" s="636"/>
      <c r="L27" s="271"/>
      <c r="M27" s="595" t="s">
        <v>211</v>
      </c>
      <c r="N27" s="595"/>
      <c r="O27" s="229"/>
      <c r="P27" s="229"/>
      <c r="Q27" s="229"/>
      <c r="R27" s="275"/>
      <c r="S27" s="275"/>
      <c r="T27" s="275"/>
      <c r="U27" s="275"/>
      <c r="V27" s="275"/>
      <c r="W27" s="275"/>
      <c r="X27" s="271"/>
      <c r="Y27" s="271"/>
      <c r="AO27" s="270"/>
      <c r="AP27" s="270"/>
      <c r="AQ27" s="255"/>
      <c r="AR27" s="255"/>
      <c r="AS27" s="255"/>
      <c r="AT27" s="255"/>
    </row>
    <row r="28" spans="1:61" ht="15" customHeight="1" x14ac:dyDescent="0.25">
      <c r="A28" s="618" t="s">
        <v>61</v>
      </c>
      <c r="B28" s="620">
        <f>100-O90</f>
        <v>100</v>
      </c>
      <c r="C28" s="620">
        <f>100-O89</f>
        <v>100</v>
      </c>
      <c r="D28" s="622">
        <f>100-O91</f>
        <v>100</v>
      </c>
      <c r="E28" s="624">
        <f>SUM(B28:D29)-200</f>
        <v>100</v>
      </c>
      <c r="F28" s="664"/>
      <c r="G28" s="598"/>
      <c r="J28" s="664"/>
      <c r="K28" s="664"/>
      <c r="L28" s="257"/>
      <c r="M28" s="595"/>
      <c r="N28" s="595"/>
      <c r="O28" s="588" t="s">
        <v>251</v>
      </c>
      <c r="P28" s="589"/>
      <c r="Q28" s="590"/>
      <c r="R28" s="582">
        <v>55.56</v>
      </c>
      <c r="S28" s="583"/>
      <c r="T28" s="584"/>
      <c r="X28" s="257"/>
      <c r="Y28" s="257"/>
      <c r="AO28" s="270"/>
      <c r="AP28" s="270"/>
      <c r="AQ28" s="255"/>
      <c r="AR28" s="255"/>
      <c r="AS28" s="255"/>
      <c r="AT28" s="255"/>
    </row>
    <row r="29" spans="1:61" ht="15" customHeight="1" thickBot="1" x14ac:dyDescent="0.3">
      <c r="A29" s="619"/>
      <c r="B29" s="621"/>
      <c r="C29" s="621"/>
      <c r="D29" s="623"/>
      <c r="E29" s="625"/>
      <c r="F29" s="664"/>
      <c r="G29" s="598"/>
      <c r="J29" s="664"/>
      <c r="K29" s="664"/>
      <c r="L29" s="270"/>
      <c r="O29" s="591"/>
      <c r="P29" s="592"/>
      <c r="Q29" s="593"/>
      <c r="R29" s="585"/>
      <c r="S29" s="586"/>
      <c r="T29" s="587"/>
      <c r="X29" s="270"/>
      <c r="Y29" s="270"/>
      <c r="AO29" s="270"/>
      <c r="AP29" s="270"/>
    </row>
    <row r="30" spans="1:61" ht="15" customHeight="1" x14ac:dyDescent="0.25">
      <c r="A30" s="618" t="s">
        <v>62</v>
      </c>
      <c r="B30" s="620">
        <f>100-O94</f>
        <v>100</v>
      </c>
      <c r="C30" s="620">
        <f>100-O93</f>
        <v>100</v>
      </c>
      <c r="D30" s="622"/>
      <c r="E30" s="624">
        <f>SUM(B30:D31)-100</f>
        <v>100</v>
      </c>
      <c r="F30" s="664"/>
      <c r="G30" s="598"/>
      <c r="J30" s="664"/>
      <c r="K30" s="664"/>
      <c r="L30" s="270"/>
      <c r="O30" s="230"/>
      <c r="P30" s="230"/>
      <c r="Q30" s="230"/>
      <c r="R30" s="231"/>
      <c r="S30" s="231"/>
      <c r="T30" s="231"/>
      <c r="X30" s="270"/>
      <c r="Y30" s="270"/>
      <c r="AG30" s="726" t="s">
        <v>177</v>
      </c>
      <c r="AH30" s="727"/>
      <c r="AI30" s="727"/>
      <c r="AJ30" s="727"/>
      <c r="AK30" s="727"/>
      <c r="AL30" s="728"/>
      <c r="AM30" s="270"/>
      <c r="AN30" s="270"/>
      <c r="AO30" s="270"/>
      <c r="AP30" s="270"/>
      <c r="AQ30" s="269"/>
      <c r="AR30" s="269"/>
      <c r="AS30" s="269"/>
      <c r="AT30" s="269"/>
    </row>
    <row r="31" spans="1:61" ht="15" customHeight="1" thickBot="1" x14ac:dyDescent="0.3">
      <c r="A31" s="619"/>
      <c r="B31" s="621"/>
      <c r="C31" s="621"/>
      <c r="D31" s="623"/>
      <c r="E31" s="625"/>
      <c r="F31" s="664"/>
      <c r="G31" s="598"/>
      <c r="J31" s="664"/>
      <c r="K31" s="664"/>
      <c r="L31" s="270"/>
      <c r="N31" s="672" t="s">
        <v>191</v>
      </c>
      <c r="O31" s="673"/>
      <c r="P31" s="673"/>
      <c r="Q31" s="674"/>
      <c r="R31" s="251"/>
      <c r="S31" s="251"/>
      <c r="T31" s="251"/>
      <c r="U31" s="232" t="s">
        <v>217</v>
      </c>
      <c r="V31" s="151">
        <v>1</v>
      </c>
      <c r="X31" s="270"/>
      <c r="Y31" s="270"/>
      <c r="AG31" s="276" t="s">
        <v>282</v>
      </c>
      <c r="AH31" s="276" t="s">
        <v>4</v>
      </c>
      <c r="AI31" s="276" t="s">
        <v>283</v>
      </c>
      <c r="AJ31" s="276" t="s">
        <v>213</v>
      </c>
      <c r="AK31" s="258" t="s">
        <v>284</v>
      </c>
      <c r="AL31" s="277" t="s">
        <v>131</v>
      </c>
      <c r="AM31" s="271"/>
      <c r="AN31" s="271"/>
      <c r="AO31" s="271"/>
      <c r="AP31" s="271"/>
      <c r="AQ31" s="271"/>
      <c r="AR31" s="271"/>
      <c r="AS31" s="271"/>
      <c r="AT31" s="271"/>
    </row>
    <row r="32" spans="1:61" ht="15" customHeight="1" x14ac:dyDescent="0.25">
      <c r="A32" s="618" t="s">
        <v>125</v>
      </c>
      <c r="B32" s="620">
        <f>100-O98</f>
        <v>90</v>
      </c>
      <c r="C32" s="620">
        <f>100-O97</f>
        <v>100</v>
      </c>
      <c r="D32" s="622"/>
      <c r="E32" s="624">
        <f>SUM(B32:D33)-100</f>
        <v>90</v>
      </c>
      <c r="F32" s="597" t="s">
        <v>405</v>
      </c>
      <c r="G32" s="598"/>
      <c r="J32" s="664"/>
      <c r="K32" s="664"/>
      <c r="L32" s="270"/>
      <c r="N32" s="675"/>
      <c r="O32" s="676"/>
      <c r="P32" s="676"/>
      <c r="Q32" s="677"/>
      <c r="R32" s="251"/>
      <c r="S32" s="251"/>
      <c r="T32" s="251"/>
      <c r="U32" s="233" t="s">
        <v>218</v>
      </c>
      <c r="V32" s="152">
        <v>7</v>
      </c>
      <c r="AG32" s="278" t="s">
        <v>280</v>
      </c>
      <c r="AH32" s="279">
        <f>S81</f>
        <v>90</v>
      </c>
      <c r="AI32" s="258" t="s">
        <v>144</v>
      </c>
      <c r="AJ32" s="280">
        <f>R2</f>
        <v>91.666666666666671</v>
      </c>
      <c r="AK32" s="258" t="s">
        <v>144</v>
      </c>
      <c r="AL32" s="281">
        <f>AVERAGE(AH32:AK32)</f>
        <v>90.833333333333343</v>
      </c>
      <c r="AM32" s="271"/>
      <c r="AN32" s="271"/>
      <c r="AO32" s="271"/>
      <c r="AP32" s="271"/>
      <c r="AQ32" s="257"/>
      <c r="AR32" s="257"/>
      <c r="AS32" s="257"/>
      <c r="AT32" s="257"/>
    </row>
    <row r="33" spans="1:61" ht="15" customHeight="1" thickBot="1" x14ac:dyDescent="0.3">
      <c r="A33" s="619"/>
      <c r="B33" s="621"/>
      <c r="C33" s="621"/>
      <c r="D33" s="623"/>
      <c r="E33" s="625"/>
      <c r="F33" s="664"/>
      <c r="G33" s="598"/>
      <c r="J33" s="664"/>
      <c r="K33" s="664"/>
      <c r="L33" s="270"/>
      <c r="N33" s="234" t="s">
        <v>227</v>
      </c>
      <c r="O33" s="234"/>
      <c r="P33" s="688" t="s">
        <v>406</v>
      </c>
      <c r="Q33" s="688"/>
      <c r="R33" s="688"/>
      <c r="S33" s="688"/>
      <c r="T33" s="689"/>
      <c r="U33" s="232" t="s">
        <v>219</v>
      </c>
      <c r="V33" s="151">
        <v>10</v>
      </c>
      <c r="AG33" s="278" t="s">
        <v>279</v>
      </c>
      <c r="AH33" s="279">
        <f>S85</f>
        <v>95</v>
      </c>
      <c r="AI33" s="280">
        <f>(10/18)*100</f>
        <v>55.555555555555557</v>
      </c>
      <c r="AJ33" s="258" t="s">
        <v>144</v>
      </c>
      <c r="AK33" s="199">
        <f>AVERAGE(C50:D50)*100</f>
        <v>100</v>
      </c>
      <c r="AL33" s="282">
        <f>AVERAGE(AH33:AK33)-5</f>
        <v>78.518518518518519</v>
      </c>
      <c r="AM33" s="270"/>
      <c r="AN33" s="270"/>
      <c r="AO33" s="270"/>
      <c r="AP33" s="270"/>
      <c r="AQ33" s="270"/>
      <c r="AR33" s="270"/>
      <c r="AS33" s="270"/>
      <c r="AT33" s="270"/>
    </row>
    <row r="34" spans="1:61" ht="15" customHeight="1" x14ac:dyDescent="0.25">
      <c r="A34" s="618" t="s">
        <v>65</v>
      </c>
      <c r="B34" s="620">
        <f>100-O102</f>
        <v>100</v>
      </c>
      <c r="C34" s="620">
        <f>100-O101</f>
        <v>100</v>
      </c>
      <c r="D34" s="622"/>
      <c r="E34" s="624">
        <f>SUM(B34:D35)-100</f>
        <v>100</v>
      </c>
      <c r="F34" s="664"/>
      <c r="G34" s="598"/>
      <c r="J34" s="664"/>
      <c r="K34" s="664"/>
      <c r="L34" s="270"/>
      <c r="P34" s="688"/>
      <c r="Q34" s="688"/>
      <c r="R34" s="688"/>
      <c r="S34" s="688"/>
      <c r="T34" s="689"/>
      <c r="U34" s="235" t="s">
        <v>177</v>
      </c>
      <c r="V34" s="158">
        <v>0.55559999999999998</v>
      </c>
      <c r="AE34" s="270"/>
      <c r="AF34" s="270"/>
      <c r="AG34" s="270"/>
      <c r="AH34" s="270"/>
      <c r="AI34" s="270"/>
      <c r="AJ34" s="270"/>
      <c r="AK34" s="270"/>
      <c r="AL34" s="270"/>
      <c r="AM34" s="270"/>
      <c r="AN34" s="270"/>
      <c r="AO34" s="270"/>
      <c r="AP34" s="270"/>
      <c r="AQ34" s="270"/>
      <c r="AR34" s="270"/>
      <c r="AS34" s="270"/>
      <c r="AT34" s="270"/>
    </row>
    <row r="35" spans="1:61" ht="15" customHeight="1" thickBot="1" x14ac:dyDescent="0.3">
      <c r="A35" s="619"/>
      <c r="B35" s="621"/>
      <c r="C35" s="621"/>
      <c r="D35" s="623"/>
      <c r="E35" s="625"/>
      <c r="F35" s="664"/>
      <c r="G35" s="598"/>
      <c r="J35" s="664"/>
      <c r="K35" s="664"/>
      <c r="L35" s="271"/>
      <c r="N35" s="730"/>
      <c r="O35" s="730"/>
      <c r="P35" s="730"/>
      <c r="Q35" s="730"/>
      <c r="R35" s="730"/>
      <c r="S35" s="730"/>
      <c r="T35" s="730"/>
      <c r="U35" s="730"/>
      <c r="V35" s="730"/>
      <c r="AE35" s="270"/>
      <c r="AF35" s="270"/>
      <c r="AG35" s="270"/>
      <c r="AH35" s="270"/>
      <c r="AI35" s="270"/>
      <c r="AJ35" s="270"/>
      <c r="AK35" s="270"/>
      <c r="AL35" s="270"/>
      <c r="AM35" s="270"/>
      <c r="AN35" s="270"/>
      <c r="AO35" s="270"/>
      <c r="AP35" s="270"/>
      <c r="AQ35" s="270"/>
      <c r="AR35" s="270"/>
      <c r="AS35" s="270"/>
      <c r="AT35" s="270"/>
    </row>
    <row r="36" spans="1:61" ht="15" customHeight="1" thickBot="1" x14ac:dyDescent="0.3">
      <c r="A36" s="618" t="s">
        <v>249</v>
      </c>
      <c r="B36" s="620">
        <f>100-O106</f>
        <v>100</v>
      </c>
      <c r="C36" s="620">
        <f>100-O105</f>
        <v>90</v>
      </c>
      <c r="D36" s="622"/>
      <c r="E36" s="624">
        <f>SUM(B36:D37)-100</f>
        <v>90</v>
      </c>
      <c r="F36" s="664"/>
      <c r="G36" s="598"/>
      <c r="J36" s="636"/>
      <c r="K36" s="636"/>
      <c r="L36" s="271"/>
      <c r="N36" s="715" t="s">
        <v>116</v>
      </c>
      <c r="O36" s="716"/>
      <c r="P36" s="236" t="s">
        <v>224</v>
      </c>
      <c r="Q36" s="236" t="s">
        <v>220</v>
      </c>
      <c r="R36" s="236" t="s">
        <v>221</v>
      </c>
      <c r="S36" s="236" t="s">
        <v>190</v>
      </c>
      <c r="T36" s="236" t="s">
        <v>225</v>
      </c>
      <c r="U36" s="236" t="s">
        <v>226</v>
      </c>
      <c r="V36" s="236" t="s">
        <v>123</v>
      </c>
      <c r="AG36" s="270"/>
      <c r="AH36" s="270"/>
      <c r="AI36" s="270"/>
      <c r="AJ36" s="257"/>
      <c r="AK36" s="257"/>
      <c r="AL36" s="257"/>
      <c r="AM36" s="729" t="s">
        <v>177</v>
      </c>
      <c r="AN36" s="729"/>
      <c r="AO36" s="729"/>
      <c r="AP36" s="729"/>
      <c r="AQ36" s="729"/>
      <c r="AR36" s="729"/>
      <c r="AS36" s="270"/>
      <c r="AT36" s="270"/>
    </row>
    <row r="37" spans="1:61" ht="15" customHeight="1" thickBot="1" x14ac:dyDescent="0.3">
      <c r="A37" s="619"/>
      <c r="B37" s="621"/>
      <c r="C37" s="621"/>
      <c r="D37" s="623"/>
      <c r="E37" s="625"/>
      <c r="F37" s="666" t="s">
        <v>376</v>
      </c>
      <c r="G37" s="660"/>
      <c r="J37" s="664"/>
      <c r="K37" s="664"/>
      <c r="L37" s="270"/>
      <c r="N37" s="690" t="s">
        <v>253</v>
      </c>
      <c r="O37" s="691"/>
      <c r="P37" s="189">
        <v>4.7649999999999997</v>
      </c>
      <c r="Q37" s="189">
        <v>10</v>
      </c>
      <c r="R37" s="189">
        <v>9.44</v>
      </c>
      <c r="S37" s="189"/>
      <c r="T37" s="189">
        <v>5.2</v>
      </c>
      <c r="U37" s="189">
        <v>5.33</v>
      </c>
      <c r="V37" s="900">
        <v>-0.13</v>
      </c>
      <c r="AG37" s="270"/>
      <c r="AH37" s="270"/>
      <c r="AI37" s="270"/>
      <c r="AJ37" s="257"/>
      <c r="AK37" s="257"/>
      <c r="AL37" s="257"/>
      <c r="AM37" s="276" t="s">
        <v>289</v>
      </c>
      <c r="AN37" s="276" t="s">
        <v>290</v>
      </c>
      <c r="AO37" s="276" t="s">
        <v>301</v>
      </c>
      <c r="AP37" s="276" t="s">
        <v>4</v>
      </c>
      <c r="AQ37" s="276" t="s">
        <v>283</v>
      </c>
      <c r="AR37" s="277" t="s">
        <v>131</v>
      </c>
      <c r="AS37" s="270"/>
      <c r="AT37" s="270"/>
    </row>
    <row r="38" spans="1:61" ht="15" customHeight="1" thickBot="1" x14ac:dyDescent="0.3">
      <c r="A38" s="211" t="s">
        <v>82</v>
      </c>
      <c r="B38" s="228">
        <f>AVERAGE(B16:B37)</f>
        <v>98.181818181818187</v>
      </c>
      <c r="C38" s="228">
        <f>AVERAGE(C16:C37)</f>
        <v>97.272727272727266</v>
      </c>
      <c r="D38" s="228">
        <f>AVERAGE(D16:D37)</f>
        <v>98.333333333333329</v>
      </c>
      <c r="E38" s="283"/>
      <c r="F38" s="271"/>
      <c r="G38" s="271"/>
      <c r="H38" s="271"/>
      <c r="I38" s="271"/>
      <c r="L38" s="270"/>
      <c r="N38" s="692" t="s">
        <v>109</v>
      </c>
      <c r="O38" s="693"/>
      <c r="P38" s="190">
        <v>2</v>
      </c>
      <c r="Q38" s="190">
        <v>7.2549999999999999</v>
      </c>
      <c r="R38" s="190">
        <v>5.4</v>
      </c>
      <c r="S38" s="190"/>
      <c r="T38" s="190">
        <v>3.97</v>
      </c>
      <c r="U38" s="190">
        <v>3.86</v>
      </c>
      <c r="V38" s="388">
        <v>0.12</v>
      </c>
      <c r="AG38" s="270"/>
      <c r="AH38" s="270"/>
      <c r="AI38" s="270"/>
      <c r="AM38" s="369" t="s">
        <v>291</v>
      </c>
      <c r="AN38" s="278" t="s">
        <v>296</v>
      </c>
      <c r="AO38" s="276">
        <v>1</v>
      </c>
      <c r="AP38" s="196">
        <f>IF(AO38=1,100-(F75*5),100)</f>
        <v>100</v>
      </c>
      <c r="AQ38" s="279" t="s">
        <v>144</v>
      </c>
      <c r="AR38" s="370">
        <f>AVERAGE(AP38:AQ38)</f>
        <v>100</v>
      </c>
      <c r="AS38" s="270"/>
      <c r="AT38" s="270"/>
    </row>
    <row r="39" spans="1:61" ht="15" customHeight="1" thickBot="1" x14ac:dyDescent="0.3">
      <c r="A39" s="212"/>
      <c r="B39" s="213"/>
      <c r="C39" s="213"/>
      <c r="D39" s="214"/>
      <c r="E39" s="271"/>
      <c r="F39" s="271"/>
      <c r="G39" s="271"/>
      <c r="H39" s="257"/>
      <c r="I39" s="284"/>
      <c r="J39" s="285"/>
      <c r="L39" s="270"/>
      <c r="N39" s="709" t="s">
        <v>231</v>
      </c>
      <c r="O39" s="710"/>
      <c r="P39" s="189">
        <v>2.63</v>
      </c>
      <c r="Q39" s="189">
        <v>10.36</v>
      </c>
      <c r="R39" s="189">
        <v>9.5</v>
      </c>
      <c r="S39" s="189"/>
      <c r="T39" s="189">
        <v>3</v>
      </c>
      <c r="U39" s="189">
        <v>3.49</v>
      </c>
      <c r="V39" s="901">
        <v>-0.49</v>
      </c>
      <c r="AG39" s="271"/>
      <c r="AM39" s="371" t="s">
        <v>292</v>
      </c>
      <c r="AN39" s="278" t="s">
        <v>298</v>
      </c>
      <c r="AO39" s="276">
        <v>1</v>
      </c>
      <c r="AP39" s="196">
        <f>IF(AO39=1,100-(F87)*10,100)</f>
        <v>100</v>
      </c>
      <c r="AQ39" s="279" t="s">
        <v>144</v>
      </c>
      <c r="AR39" s="370">
        <f>AVERAGE(AP39:AQ39)</f>
        <v>100</v>
      </c>
      <c r="AS39" s="271"/>
      <c r="AT39" s="271"/>
    </row>
    <row r="40" spans="1:61" ht="15" customHeight="1" thickBot="1" x14ac:dyDescent="0.3">
      <c r="A40" s="667" t="s">
        <v>281</v>
      </c>
      <c r="B40" s="667"/>
      <c r="C40" s="667"/>
      <c r="D40" s="667"/>
      <c r="H40" s="215"/>
      <c r="I40" s="215"/>
      <c r="J40" s="215"/>
      <c r="K40" s="216"/>
      <c r="L40" s="257"/>
      <c r="N40" s="692" t="s">
        <v>232</v>
      </c>
      <c r="O40" s="693"/>
      <c r="P40" s="190">
        <v>6.83</v>
      </c>
      <c r="Q40" s="190">
        <v>7</v>
      </c>
      <c r="R40" s="190">
        <v>6.11</v>
      </c>
      <c r="S40" s="190"/>
      <c r="T40" s="190">
        <v>8</v>
      </c>
      <c r="U40" s="190">
        <v>7.72</v>
      </c>
      <c r="V40" s="191">
        <v>0.28000000000000003</v>
      </c>
      <c r="AG40" s="271"/>
      <c r="AM40" s="371" t="s">
        <v>60</v>
      </c>
      <c r="AN40" s="372" t="s">
        <v>321</v>
      </c>
      <c r="AO40" s="276">
        <v>1</v>
      </c>
      <c r="AP40" s="196">
        <f>IF(AO40=1,100-(F71)*10,100)</f>
        <v>100</v>
      </c>
      <c r="AQ40" s="279">
        <f>IF(AO40=1,(5/11)*100,"N/A")</f>
        <v>45.454545454545453</v>
      </c>
      <c r="AR40" s="370">
        <f>AVERAGE(AP40:AQ40)</f>
        <v>72.72727272727272</v>
      </c>
      <c r="AS40" s="271"/>
      <c r="AT40" s="271"/>
    </row>
    <row r="41" spans="1:61" ht="15" customHeight="1" thickBot="1" x14ac:dyDescent="0.3">
      <c r="A41" s="217" t="s">
        <v>1</v>
      </c>
      <c r="B41" s="217" t="s">
        <v>120</v>
      </c>
      <c r="C41" s="256" t="s">
        <v>83</v>
      </c>
      <c r="D41" s="256" t="s">
        <v>23</v>
      </c>
      <c r="H41" s="218"/>
      <c r="I41" s="218"/>
      <c r="J41" s="218"/>
      <c r="K41" s="255"/>
      <c r="L41" s="257"/>
      <c r="N41" s="709" t="s">
        <v>233</v>
      </c>
      <c r="O41" s="710"/>
      <c r="P41" s="189">
        <v>35</v>
      </c>
      <c r="Q41" s="192">
        <v>230</v>
      </c>
      <c r="R41" s="189">
        <v>205.53</v>
      </c>
      <c r="S41" s="189"/>
      <c r="T41" s="189">
        <v>60</v>
      </c>
      <c r="U41" s="189">
        <v>59.47</v>
      </c>
      <c r="V41" s="191">
        <v>0.53</v>
      </c>
      <c r="AG41" s="270"/>
      <c r="AM41" s="371" t="s">
        <v>293</v>
      </c>
      <c r="AN41" s="278" t="s">
        <v>309</v>
      </c>
      <c r="AO41" s="276">
        <v>0</v>
      </c>
      <c r="AP41" s="196">
        <f>IF(AO41=1,100-((F99)*10),100)</f>
        <v>100</v>
      </c>
      <c r="AQ41" s="279" t="s">
        <v>144</v>
      </c>
      <c r="AR41" s="370">
        <f>AVERAGE(AP41:AQ41)</f>
        <v>100</v>
      </c>
      <c r="AS41" s="270"/>
      <c r="AT41" s="270"/>
    </row>
    <row r="42" spans="1:61" ht="15" customHeight="1" thickBot="1" x14ac:dyDescent="0.3">
      <c r="A42" s="258" t="s">
        <v>75</v>
      </c>
      <c r="B42" s="286" t="s">
        <v>259</v>
      </c>
      <c r="C42" s="320">
        <v>61</v>
      </c>
      <c r="D42" s="263" t="s">
        <v>228</v>
      </c>
      <c r="J42" s="219"/>
      <c r="K42" s="255"/>
      <c r="N42" s="698" t="s">
        <v>341</v>
      </c>
      <c r="O42" s="699"/>
      <c r="P42" s="190">
        <v>5.8550000000000004</v>
      </c>
      <c r="Q42" s="190">
        <v>8</v>
      </c>
      <c r="R42" s="190">
        <v>9.74</v>
      </c>
      <c r="S42" s="190"/>
      <c r="T42" s="190">
        <v>4.05</v>
      </c>
      <c r="U42" s="189">
        <v>4.1100000000000003</v>
      </c>
      <c r="V42" s="191">
        <v>-0.06</v>
      </c>
      <c r="AG42" s="270"/>
      <c r="AM42" s="371" t="s">
        <v>295</v>
      </c>
      <c r="AN42" s="278" t="s">
        <v>299</v>
      </c>
      <c r="AO42" s="276">
        <v>1</v>
      </c>
      <c r="AP42" s="196">
        <f>IF(AO42=1,100-((E83-G83)*10),100)</f>
        <v>100</v>
      </c>
      <c r="AQ42" s="197">
        <f>IF(AO42=1,(5/6)*100,"N/A")</f>
        <v>83.333333333333343</v>
      </c>
      <c r="AR42" s="370">
        <f>AVERAGE(AP42:AQ42)-5</f>
        <v>86.666666666666671</v>
      </c>
    </row>
    <row r="43" spans="1:61" ht="15" customHeight="1" x14ac:dyDescent="0.25">
      <c r="A43" s="258" t="s">
        <v>76</v>
      </c>
      <c r="B43" s="286" t="s">
        <v>260</v>
      </c>
      <c r="C43" s="258">
        <v>72</v>
      </c>
      <c r="D43" s="276" t="s">
        <v>228</v>
      </c>
      <c r="E43" s="202"/>
      <c r="J43" s="287"/>
      <c r="K43" s="255"/>
      <c r="N43" s="725"/>
      <c r="O43" s="725"/>
      <c r="P43" s="725"/>
      <c r="Q43" s="725"/>
      <c r="R43" s="725"/>
      <c r="S43" s="725"/>
      <c r="T43" s="725"/>
      <c r="U43" s="725"/>
      <c r="V43" s="725"/>
      <c r="AG43" s="270"/>
      <c r="AM43" s="278" t="s">
        <v>314</v>
      </c>
      <c r="AN43" s="278"/>
      <c r="AO43" s="276">
        <v>0</v>
      </c>
      <c r="AP43" s="196">
        <f>IF(AO43=1,100-((F99)*10),100)</f>
        <v>100</v>
      </c>
      <c r="AQ43" s="197" t="s">
        <v>144</v>
      </c>
      <c r="AR43" s="370">
        <f t="shared" ref="AR42:AR52" si="1">AVERAGE(AP43:AQ43)</f>
        <v>100</v>
      </c>
    </row>
    <row r="44" spans="1:61" ht="15" customHeight="1" thickBot="1" x14ac:dyDescent="0.3">
      <c r="A44" s="258" t="s">
        <v>230</v>
      </c>
      <c r="B44" s="286" t="s">
        <v>78</v>
      </c>
      <c r="C44" s="320">
        <v>76</v>
      </c>
      <c r="D44" s="276" t="s">
        <v>228</v>
      </c>
      <c r="H44" s="215"/>
      <c r="I44" s="215"/>
      <c r="J44" s="215"/>
      <c r="K44" s="255"/>
      <c r="N44" s="713" t="s">
        <v>116</v>
      </c>
      <c r="O44" s="714"/>
      <c r="P44" s="236" t="s">
        <v>224</v>
      </c>
      <c r="Q44" s="236" t="s">
        <v>220</v>
      </c>
      <c r="R44" s="236" t="s">
        <v>221</v>
      </c>
      <c r="S44" s="236" t="s">
        <v>190</v>
      </c>
      <c r="T44" s="236" t="s">
        <v>225</v>
      </c>
      <c r="U44" s="236" t="s">
        <v>226</v>
      </c>
      <c r="V44" s="237" t="s">
        <v>123</v>
      </c>
      <c r="AG44" s="257"/>
      <c r="AM44" s="372" t="s">
        <v>269</v>
      </c>
      <c r="AN44" s="278" t="s">
        <v>300</v>
      </c>
      <c r="AO44" s="276">
        <v>1</v>
      </c>
      <c r="AP44" s="196">
        <f>IF(AO44=1,100-(F79*10),100)</f>
        <v>100</v>
      </c>
      <c r="AQ44" s="279" t="s">
        <v>144</v>
      </c>
      <c r="AR44" s="370">
        <f t="shared" si="1"/>
        <v>100</v>
      </c>
    </row>
    <row r="45" spans="1:61" ht="15" customHeight="1" thickBot="1" x14ac:dyDescent="0.3">
      <c r="A45" s="258" t="s">
        <v>66</v>
      </c>
      <c r="B45" s="286" t="s">
        <v>335</v>
      </c>
      <c r="C45" s="258">
        <v>77</v>
      </c>
      <c r="D45" s="276" t="s">
        <v>228</v>
      </c>
      <c r="H45" s="218"/>
      <c r="I45" s="218"/>
      <c r="J45" s="218"/>
      <c r="K45" s="255"/>
      <c r="N45" s="709" t="s">
        <v>234</v>
      </c>
      <c r="O45" s="710"/>
      <c r="P45" s="193">
        <v>145</v>
      </c>
      <c r="Q45" s="189">
        <v>144</v>
      </c>
      <c r="R45" s="189">
        <v>151</v>
      </c>
      <c r="S45" s="189"/>
      <c r="T45" s="193">
        <v>130</v>
      </c>
      <c r="U45" s="193">
        <v>138</v>
      </c>
      <c r="V45" s="416">
        <v>-8</v>
      </c>
      <c r="AG45" s="257"/>
      <c r="AM45" s="372" t="s">
        <v>269</v>
      </c>
      <c r="AN45" s="372" t="s">
        <v>303</v>
      </c>
      <c r="AO45" s="276">
        <v>0</v>
      </c>
      <c r="AP45" s="196">
        <f>IF(AO45=1,100-(F79*10),100)</f>
        <v>100</v>
      </c>
      <c r="AQ45" s="279" t="s">
        <v>144</v>
      </c>
      <c r="AR45" s="370">
        <f t="shared" si="1"/>
        <v>100</v>
      </c>
      <c r="AY45"/>
      <c r="AZ45"/>
      <c r="BA45"/>
      <c r="BB45"/>
      <c r="BC45"/>
      <c r="BD45"/>
      <c r="BE45"/>
      <c r="BF45"/>
      <c r="BG45"/>
      <c r="BH45"/>
      <c r="BI45"/>
    </row>
    <row r="46" spans="1:61" ht="15" customHeight="1" thickBot="1" x14ac:dyDescent="0.3">
      <c r="A46" s="258" t="s">
        <v>197</v>
      </c>
      <c r="B46" s="286" t="s">
        <v>78</v>
      </c>
      <c r="C46" s="320">
        <v>65</v>
      </c>
      <c r="D46" s="276" t="s">
        <v>228</v>
      </c>
      <c r="H46" s="219"/>
      <c r="I46" s="219"/>
      <c r="J46" s="219"/>
      <c r="K46" s="255"/>
      <c r="N46" s="692" t="s">
        <v>235</v>
      </c>
      <c r="O46" s="693"/>
      <c r="P46" s="190">
        <v>60</v>
      </c>
      <c r="Q46" s="190">
        <v>24</v>
      </c>
      <c r="R46" s="190">
        <v>27</v>
      </c>
      <c r="S46" s="189"/>
      <c r="T46" s="190">
        <v>54</v>
      </c>
      <c r="U46" s="190">
        <v>57</v>
      </c>
      <c r="V46" s="416">
        <v>-3</v>
      </c>
      <c r="AM46" s="372" t="s">
        <v>355</v>
      </c>
      <c r="AN46" s="373" t="s">
        <v>356</v>
      </c>
      <c r="AO46" s="276">
        <v>1</v>
      </c>
      <c r="AP46" s="196">
        <f>IF(AO46=1,100-(F79*10),100)</f>
        <v>100</v>
      </c>
      <c r="AQ46" s="279" t="s">
        <v>144</v>
      </c>
      <c r="AR46" s="370">
        <f t="shared" si="1"/>
        <v>100</v>
      </c>
      <c r="AY46" s="255"/>
      <c r="AZ46" s="255"/>
      <c r="BA46" s="255"/>
      <c r="BG46" s="289"/>
      <c r="BH46" s="290"/>
      <c r="BI46" s="291"/>
    </row>
    <row r="47" spans="1:61" ht="15" customHeight="1" thickBot="1" x14ac:dyDescent="0.3">
      <c r="A47" s="258" t="s">
        <v>68</v>
      </c>
      <c r="B47" s="286" t="s">
        <v>136</v>
      </c>
      <c r="C47" s="258">
        <v>72</v>
      </c>
      <c r="D47" s="276" t="s">
        <v>228</v>
      </c>
      <c r="F47" s="292"/>
      <c r="H47" s="220"/>
      <c r="I47" s="221"/>
      <c r="J47" s="285"/>
      <c r="K47" s="253"/>
      <c r="N47" s="700" t="s">
        <v>254</v>
      </c>
      <c r="O47" s="701"/>
      <c r="P47" s="193">
        <v>0</v>
      </c>
      <c r="Q47" s="189"/>
      <c r="R47" s="189">
        <v>0</v>
      </c>
      <c r="S47" s="189"/>
      <c r="T47" s="193"/>
      <c r="U47" s="193">
        <v>0</v>
      </c>
      <c r="V47" s="191">
        <v>0</v>
      </c>
      <c r="AM47" s="372" t="s">
        <v>269</v>
      </c>
      <c r="AN47" s="372" t="s">
        <v>316</v>
      </c>
      <c r="AO47" s="276">
        <v>1</v>
      </c>
      <c r="AP47" s="196">
        <f t="shared" ref="AP47:AP52" si="2">IF(AO47=1,100-(0)*10,100)</f>
        <v>100</v>
      </c>
      <c r="AQ47" s="279">
        <f>IF(AO47=1,(11/11)*100,"N/A")</f>
        <v>100</v>
      </c>
      <c r="AR47" s="370">
        <f t="shared" si="1"/>
        <v>100</v>
      </c>
      <c r="AY47" s="255"/>
      <c r="AZ47" s="255"/>
      <c r="BA47" s="255"/>
      <c r="BG47" s="289"/>
      <c r="BH47" s="290"/>
      <c r="BI47" s="291"/>
    </row>
    <row r="48" spans="1:61" ht="15" customHeight="1" thickBot="1" x14ac:dyDescent="0.3">
      <c r="A48" s="258" t="s">
        <v>305</v>
      </c>
      <c r="B48" s="286" t="s">
        <v>307</v>
      </c>
      <c r="C48" s="258" t="s">
        <v>144</v>
      </c>
      <c r="D48" s="276" t="s">
        <v>228</v>
      </c>
      <c r="H48" s="285"/>
      <c r="I48" s="257"/>
      <c r="J48" s="285"/>
      <c r="N48" s="692" t="s">
        <v>236</v>
      </c>
      <c r="O48" s="693"/>
      <c r="P48" s="190">
        <v>0</v>
      </c>
      <c r="Q48" s="190"/>
      <c r="R48" s="190">
        <v>0</v>
      </c>
      <c r="S48" s="190"/>
      <c r="T48" s="190"/>
      <c r="U48" s="190">
        <v>0</v>
      </c>
      <c r="V48" s="191">
        <v>0</v>
      </c>
      <c r="AM48" s="278" t="s">
        <v>294</v>
      </c>
      <c r="AN48" s="278" t="s">
        <v>318</v>
      </c>
      <c r="AO48" s="276">
        <v>0</v>
      </c>
      <c r="AP48" s="196">
        <f t="shared" si="2"/>
        <v>100</v>
      </c>
      <c r="AQ48" s="279" t="s">
        <v>144</v>
      </c>
      <c r="AR48" s="370">
        <f>AVERAGE(AP48:AQ48)</f>
        <v>100</v>
      </c>
      <c r="AY48" s="255"/>
      <c r="AZ48" s="255"/>
      <c r="BA48" s="255"/>
      <c r="BG48" s="289"/>
      <c r="BH48" s="290"/>
      <c r="BI48" s="291"/>
    </row>
    <row r="49" spans="1:61" ht="15" customHeight="1" thickBot="1" x14ac:dyDescent="0.3">
      <c r="A49" s="258" t="s">
        <v>306</v>
      </c>
      <c r="B49" s="286" t="s">
        <v>307</v>
      </c>
      <c r="C49" s="258" t="s">
        <v>144</v>
      </c>
      <c r="D49" s="276" t="s">
        <v>228</v>
      </c>
      <c r="H49" s="271"/>
      <c r="L49" s="257"/>
      <c r="N49" s="700" t="s">
        <v>237</v>
      </c>
      <c r="O49" s="701"/>
      <c r="P49" s="193">
        <v>86</v>
      </c>
      <c r="Q49" s="189">
        <v>24</v>
      </c>
      <c r="R49" s="189">
        <v>5</v>
      </c>
      <c r="S49" s="189"/>
      <c r="T49" s="193">
        <v>103</v>
      </c>
      <c r="U49" s="193">
        <v>105</v>
      </c>
      <c r="V49" s="416">
        <v>-2</v>
      </c>
      <c r="AJ49" s="257"/>
      <c r="AK49" s="257"/>
      <c r="AL49" s="257"/>
      <c r="AM49" s="372" t="s">
        <v>294</v>
      </c>
      <c r="AN49" s="372" t="s">
        <v>317</v>
      </c>
      <c r="AO49" s="276">
        <v>1</v>
      </c>
      <c r="AP49" s="196">
        <f>IF(AO49=1,100-(0)*10,100)</f>
        <v>100</v>
      </c>
      <c r="AQ49" s="279" t="s">
        <v>144</v>
      </c>
      <c r="AR49" s="370">
        <f>AVERAGE(AP49:AQ49)</f>
        <v>100</v>
      </c>
      <c r="AY49" s="255"/>
      <c r="AZ49" s="255"/>
      <c r="BA49" s="255"/>
      <c r="BG49" s="289"/>
      <c r="BH49" s="290"/>
      <c r="BI49" s="291"/>
    </row>
    <row r="50" spans="1:61" ht="15" customHeight="1" thickBot="1" x14ac:dyDescent="0.3">
      <c r="B50" s="293" t="s">
        <v>205</v>
      </c>
      <c r="C50" s="222">
        <f>6/6</f>
        <v>1</v>
      </c>
      <c r="D50" s="222">
        <f>8/8</f>
        <v>1</v>
      </c>
      <c r="E50" s="223"/>
      <c r="F50" s="223"/>
      <c r="G50" s="224"/>
      <c r="H50" s="271"/>
      <c r="L50" s="257"/>
      <c r="N50" s="731" t="s">
        <v>238</v>
      </c>
      <c r="O50" s="732"/>
      <c r="P50" s="190">
        <v>120</v>
      </c>
      <c r="Q50" s="190"/>
      <c r="R50" s="190">
        <v>27</v>
      </c>
      <c r="S50" s="190"/>
      <c r="T50" s="190">
        <v>60</v>
      </c>
      <c r="U50" s="190">
        <v>93</v>
      </c>
      <c r="V50" s="416">
        <v>-33</v>
      </c>
      <c r="AJ50" s="294"/>
      <c r="AK50" s="294"/>
      <c r="AL50" s="294"/>
      <c r="AM50" s="372" t="s">
        <v>294</v>
      </c>
      <c r="AN50" s="372" t="s">
        <v>346</v>
      </c>
      <c r="AO50" s="276">
        <v>1</v>
      </c>
      <c r="AP50" s="196">
        <f>IF(AO50=1,100-(0)*10,100)</f>
        <v>100</v>
      </c>
      <c r="AQ50" s="279" t="s">
        <v>144</v>
      </c>
      <c r="AR50" s="370">
        <f>AVERAGE(AP50:AQ50)</f>
        <v>100</v>
      </c>
      <c r="AY50" s="255"/>
      <c r="AZ50" s="255"/>
      <c r="BA50" s="255"/>
      <c r="BG50" s="289"/>
      <c r="BH50" s="290"/>
      <c r="BI50" s="291"/>
    </row>
    <row r="51" spans="1:61" ht="15" customHeight="1" x14ac:dyDescent="0.25">
      <c r="A51" s="251"/>
      <c r="B51" s="213"/>
      <c r="C51" s="213"/>
      <c r="D51" s="214"/>
      <c r="H51" s="271"/>
      <c r="L51" s="257"/>
      <c r="N51" s="725" t="s">
        <v>222</v>
      </c>
      <c r="O51" s="725"/>
      <c r="P51" s="725"/>
      <c r="Q51" s="725"/>
      <c r="R51" s="725"/>
      <c r="S51" s="725"/>
      <c r="T51" s="725"/>
      <c r="U51" s="725"/>
      <c r="V51" s="725"/>
      <c r="AJ51" s="257"/>
      <c r="AK51" s="257"/>
      <c r="AL51" s="257"/>
      <c r="AM51" s="372" t="s">
        <v>294</v>
      </c>
      <c r="AN51" s="372" t="s">
        <v>353</v>
      </c>
      <c r="AO51" s="276">
        <v>1</v>
      </c>
      <c r="AP51" s="196">
        <f>IF(AO51=1,100-(0)*10,100)</f>
        <v>100</v>
      </c>
      <c r="AQ51" s="279" t="s">
        <v>144</v>
      </c>
      <c r="AR51" s="370">
        <f>AVERAGE(AP51:AQ51)</f>
        <v>100</v>
      </c>
      <c r="BG51" s="289"/>
      <c r="BH51" s="290"/>
      <c r="BI51" s="291"/>
    </row>
    <row r="52" spans="1:61" ht="15" customHeight="1" thickBot="1" x14ac:dyDescent="0.3">
      <c r="A52" s="295" t="s">
        <v>252</v>
      </c>
      <c r="B52" s="295" t="s">
        <v>188</v>
      </c>
      <c r="C52" s="295" t="s">
        <v>126</v>
      </c>
      <c r="D52" s="214"/>
      <c r="H52" s="271"/>
      <c r="L52" s="257"/>
      <c r="N52" s="713" t="s">
        <v>116</v>
      </c>
      <c r="O52" s="714"/>
      <c r="P52" s="237" t="s">
        <v>224</v>
      </c>
      <c r="Q52" s="237" t="s">
        <v>220</v>
      </c>
      <c r="R52" s="237" t="s">
        <v>221</v>
      </c>
      <c r="S52" s="237" t="s">
        <v>190</v>
      </c>
      <c r="T52" s="237" t="s">
        <v>225</v>
      </c>
      <c r="U52" s="237" t="s">
        <v>226</v>
      </c>
      <c r="V52" s="237" t="s">
        <v>123</v>
      </c>
      <c r="AJ52" s="257"/>
      <c r="AK52" s="257"/>
      <c r="AL52" s="257"/>
      <c r="AM52" s="372" t="s">
        <v>294</v>
      </c>
      <c r="AN52" s="372"/>
      <c r="AO52" s="276">
        <v>0</v>
      </c>
      <c r="AP52" s="196">
        <f t="shared" si="2"/>
        <v>100</v>
      </c>
      <c r="AQ52" s="279" t="s">
        <v>144</v>
      </c>
      <c r="AR52" s="370">
        <f t="shared" si="1"/>
        <v>100</v>
      </c>
    </row>
    <row r="53" spans="1:61" ht="15" customHeight="1" thickBot="1" x14ac:dyDescent="0.3">
      <c r="A53" s="225" t="s">
        <v>228</v>
      </c>
      <c r="B53" s="225" t="s">
        <v>228</v>
      </c>
      <c r="C53" s="226" t="s">
        <v>403</v>
      </c>
      <c r="D53" s="214"/>
      <c r="E53" s="223"/>
      <c r="F53" s="223"/>
      <c r="G53" s="224"/>
      <c r="H53" s="271"/>
      <c r="L53" s="257"/>
      <c r="N53" s="717" t="s">
        <v>239</v>
      </c>
      <c r="O53" s="718"/>
      <c r="P53" s="193">
        <v>73</v>
      </c>
      <c r="Q53" s="193">
        <v>96</v>
      </c>
      <c r="R53" s="193">
        <v>68</v>
      </c>
      <c r="S53" s="193">
        <v>-2</v>
      </c>
      <c r="T53" s="193">
        <v>103</v>
      </c>
      <c r="U53" s="193">
        <v>103</v>
      </c>
      <c r="V53" s="441">
        <v>0</v>
      </c>
      <c r="AJ53" s="257"/>
      <c r="AK53" s="257"/>
      <c r="AL53" s="257"/>
      <c r="AM53" s="198" t="s">
        <v>310</v>
      </c>
      <c r="AN53" s="198" t="s">
        <v>328</v>
      </c>
      <c r="AO53" s="276">
        <v>0</v>
      </c>
      <c r="AP53" s="196">
        <v>100</v>
      </c>
      <c r="AQ53" s="279" t="s">
        <v>144</v>
      </c>
      <c r="AR53" s="370">
        <f>AVERAGE(AP53:AQ53)</f>
        <v>100</v>
      </c>
      <c r="BE53" s="296"/>
      <c r="BF53" s="296"/>
      <c r="BG53" s="251"/>
      <c r="BH53" s="251"/>
      <c r="BI53" s="251"/>
    </row>
    <row r="54" spans="1:61" ht="15" customHeight="1" thickBot="1" x14ac:dyDescent="0.3">
      <c r="C54" s="213"/>
      <c r="E54" s="223"/>
      <c r="F54" s="223"/>
      <c r="G54" s="224"/>
      <c r="H54" s="271"/>
      <c r="L54" s="257"/>
      <c r="N54" s="711" t="s">
        <v>240</v>
      </c>
      <c r="O54" s="712"/>
      <c r="P54" s="190">
        <v>42</v>
      </c>
      <c r="Q54" s="190">
        <v>72</v>
      </c>
      <c r="R54" s="190">
        <v>33</v>
      </c>
      <c r="S54" s="190">
        <v>2</v>
      </c>
      <c r="T54" s="190">
        <v>79</v>
      </c>
      <c r="U54" s="190">
        <v>79</v>
      </c>
      <c r="V54" s="191">
        <v>0</v>
      </c>
      <c r="AG54" s="257"/>
      <c r="AH54" s="257"/>
      <c r="AI54" s="257"/>
      <c r="AJ54" s="266"/>
      <c r="AK54" s="266"/>
      <c r="AL54" s="266"/>
      <c r="AM54" s="372" t="s">
        <v>291</v>
      </c>
      <c r="AN54" s="372" t="s">
        <v>354</v>
      </c>
      <c r="AO54" s="276">
        <v>0</v>
      </c>
      <c r="AP54" s="196">
        <f>IF(AO54=1, 100-(F75*10),100)</f>
        <v>100</v>
      </c>
      <c r="AQ54" s="279" t="s">
        <v>144</v>
      </c>
      <c r="AR54" s="370">
        <f t="shared" ref="AR54:AR59" si="3">AVERAGE(AP54:AQ54)</f>
        <v>100</v>
      </c>
      <c r="BG54" s="251"/>
      <c r="BH54" s="296"/>
      <c r="BI54" s="296"/>
    </row>
    <row r="55" spans="1:61" ht="15" customHeight="1" thickBot="1" x14ac:dyDescent="0.3">
      <c r="C55" s="213"/>
      <c r="E55" s="223"/>
      <c r="F55" s="223"/>
      <c r="G55" s="224"/>
      <c r="H55" s="271"/>
      <c r="L55" s="257"/>
      <c r="N55" s="717" t="s">
        <v>241</v>
      </c>
      <c r="O55" s="718"/>
      <c r="P55" s="193">
        <v>48</v>
      </c>
      <c r="Q55" s="193">
        <v>84</v>
      </c>
      <c r="R55" s="193">
        <v>67</v>
      </c>
      <c r="S55" s="193"/>
      <c r="T55" s="193">
        <v>60</v>
      </c>
      <c r="U55" s="193">
        <v>65</v>
      </c>
      <c r="V55" s="416">
        <v>-5</v>
      </c>
      <c r="AG55" s="257"/>
      <c r="AH55" s="257"/>
      <c r="AI55" s="257"/>
      <c r="AJ55" s="257"/>
      <c r="AK55" s="257"/>
      <c r="AL55" s="257"/>
      <c r="AM55" s="372" t="s">
        <v>320</v>
      </c>
      <c r="AN55" s="372" t="s">
        <v>312</v>
      </c>
      <c r="AO55" s="276">
        <v>0</v>
      </c>
      <c r="AP55" s="196">
        <f>IF(AO55=1,100-((E83-G83)*10),100)</f>
        <v>100</v>
      </c>
      <c r="AQ55" s="279" t="s">
        <v>144</v>
      </c>
      <c r="AR55" s="370">
        <f t="shared" si="3"/>
        <v>100</v>
      </c>
      <c r="BC55" s="296"/>
      <c r="BD55" s="296"/>
      <c r="BG55" s="251"/>
      <c r="BH55" s="251"/>
      <c r="BI55" s="251"/>
    </row>
    <row r="56" spans="1:61" ht="15" customHeight="1" x14ac:dyDescent="0.25">
      <c r="C56" s="213"/>
      <c r="E56" s="223"/>
      <c r="F56" s="223"/>
      <c r="G56" s="224"/>
      <c r="H56" s="271"/>
      <c r="L56" s="257"/>
      <c r="N56" s="725" t="s">
        <v>223</v>
      </c>
      <c r="O56" s="725"/>
      <c r="P56" s="725"/>
      <c r="Q56" s="725"/>
      <c r="R56" s="725"/>
      <c r="S56" s="725"/>
      <c r="T56" s="725"/>
      <c r="U56" s="725"/>
      <c r="V56" s="725"/>
      <c r="AG56" s="257"/>
      <c r="AH56" s="257"/>
      <c r="AI56" s="257"/>
      <c r="AJ56" s="257"/>
      <c r="AK56" s="257"/>
      <c r="AL56" s="257"/>
      <c r="AM56" s="371" t="s">
        <v>304</v>
      </c>
      <c r="AN56" s="278" t="s">
        <v>347</v>
      </c>
      <c r="AO56" s="276">
        <v>1</v>
      </c>
      <c r="AP56" s="196">
        <f>IF(AO56=1,100-(1+F63+F91)*10,100)</f>
        <v>90</v>
      </c>
      <c r="AQ56" s="279" t="s">
        <v>144</v>
      </c>
      <c r="AR56" s="370">
        <f t="shared" si="3"/>
        <v>90</v>
      </c>
      <c r="BC56" s="296"/>
      <c r="BD56" s="296"/>
      <c r="BG56" s="251"/>
      <c r="BH56" s="251"/>
      <c r="BI56" s="251"/>
    </row>
    <row r="57" spans="1:61" ht="15" customHeight="1" thickBot="1" x14ac:dyDescent="0.3">
      <c r="C57" s="213"/>
      <c r="E57" s="223"/>
      <c r="F57" s="223"/>
      <c r="G57" s="224"/>
      <c r="H57" s="271"/>
      <c r="L57" s="257"/>
      <c r="N57" s="713" t="s">
        <v>116</v>
      </c>
      <c r="O57" s="714"/>
      <c r="P57" s="237" t="s">
        <v>224</v>
      </c>
      <c r="Q57" s="237" t="s">
        <v>220</v>
      </c>
      <c r="R57" s="237" t="s">
        <v>221</v>
      </c>
      <c r="S57" s="237" t="s">
        <v>190</v>
      </c>
      <c r="T57" s="237" t="s">
        <v>225</v>
      </c>
      <c r="U57" s="237" t="s">
        <v>226</v>
      </c>
      <c r="V57" s="237" t="s">
        <v>123</v>
      </c>
      <c r="AG57" s="257"/>
      <c r="AH57" s="257"/>
      <c r="AI57" s="257"/>
      <c r="AJ57" s="257"/>
      <c r="AK57" s="257"/>
      <c r="AL57" s="257"/>
      <c r="AM57" s="371" t="s">
        <v>304</v>
      </c>
      <c r="AN57" s="372" t="s">
        <v>297</v>
      </c>
      <c r="AO57" s="276">
        <v>1</v>
      </c>
      <c r="AP57" s="196">
        <f>IF(AO57=1,100-(1+F91+F63)*10,100)</f>
        <v>90</v>
      </c>
      <c r="AQ57" s="279" t="s">
        <v>144</v>
      </c>
      <c r="AR57" s="370">
        <f t="shared" si="3"/>
        <v>90</v>
      </c>
      <c r="BC57" s="296"/>
      <c r="BD57" s="296"/>
      <c r="BG57" s="251"/>
      <c r="BH57" s="251"/>
      <c r="BI57" s="251"/>
    </row>
    <row r="58" spans="1:61" ht="15" customHeight="1" thickBot="1" x14ac:dyDescent="0.3">
      <c r="C58" s="213"/>
      <c r="D58" s="214"/>
      <c r="E58" s="223"/>
      <c r="F58" s="223"/>
      <c r="G58" s="224"/>
      <c r="H58" s="271"/>
      <c r="L58" s="257"/>
      <c r="N58" s="709" t="s">
        <v>242</v>
      </c>
      <c r="O58" s="710"/>
      <c r="P58" s="193">
        <v>17</v>
      </c>
      <c r="Q58" s="193">
        <v>16</v>
      </c>
      <c r="R58" s="193">
        <v>33</v>
      </c>
      <c r="S58" s="193"/>
      <c r="T58" s="193">
        <v>0</v>
      </c>
      <c r="U58" s="193">
        <v>0</v>
      </c>
      <c r="V58" s="191">
        <v>0</v>
      </c>
      <c r="AG58" s="294"/>
      <c r="AH58" s="294"/>
      <c r="AI58" s="294"/>
      <c r="AJ58" s="257"/>
      <c r="AK58" s="257"/>
      <c r="AL58" s="257"/>
      <c r="AM58" s="371" t="s">
        <v>304</v>
      </c>
      <c r="AN58" s="278" t="s">
        <v>325</v>
      </c>
      <c r="AO58" s="276">
        <v>1</v>
      </c>
      <c r="AP58" s="196">
        <f>IF(AO58=1,100-(1+F91+F63)*10,100)</f>
        <v>90</v>
      </c>
      <c r="AQ58" s="279" t="s">
        <v>144</v>
      </c>
      <c r="AR58" s="370">
        <f t="shared" si="3"/>
        <v>90</v>
      </c>
      <c r="BC58" s="296"/>
      <c r="BD58" s="296"/>
      <c r="BG58" s="251"/>
      <c r="BH58" s="251"/>
      <c r="BI58" s="251"/>
    </row>
    <row r="59" spans="1:61" ht="15" customHeight="1" thickBot="1" x14ac:dyDescent="0.3">
      <c r="A59" s="297"/>
      <c r="B59" s="298"/>
      <c r="C59" s="213"/>
      <c r="D59" s="214"/>
      <c r="E59" s="223"/>
      <c r="F59" s="223"/>
      <c r="G59" s="224"/>
      <c r="H59" s="271"/>
      <c r="L59" s="257"/>
      <c r="N59" s="692" t="s">
        <v>243</v>
      </c>
      <c r="O59" s="693"/>
      <c r="P59" s="190">
        <v>11</v>
      </c>
      <c r="Q59" s="190">
        <v>15</v>
      </c>
      <c r="R59" s="190">
        <v>21</v>
      </c>
      <c r="S59" s="190"/>
      <c r="T59" s="190">
        <v>0</v>
      </c>
      <c r="U59" s="190">
        <v>5</v>
      </c>
      <c r="V59" s="416">
        <v>-5</v>
      </c>
      <c r="AG59" s="257"/>
      <c r="AH59" s="257"/>
      <c r="AI59" s="257"/>
      <c r="AJ59" s="257"/>
      <c r="AK59" s="257"/>
      <c r="AL59" s="257"/>
      <c r="AM59" s="371" t="s">
        <v>319</v>
      </c>
      <c r="AN59" s="372"/>
      <c r="AO59" s="276">
        <v>0</v>
      </c>
      <c r="AP59" s="196">
        <v>100</v>
      </c>
      <c r="AQ59" s="279" t="s">
        <v>144</v>
      </c>
      <c r="AR59" s="370">
        <f t="shared" si="3"/>
        <v>100</v>
      </c>
      <c r="BG59" s="251"/>
      <c r="BH59" s="296"/>
      <c r="BI59" s="296"/>
    </row>
    <row r="60" spans="1:61" ht="25.5" customHeight="1" thickBot="1" x14ac:dyDescent="0.3">
      <c r="A60" s="212"/>
      <c r="B60" s="300"/>
      <c r="C60" s="300"/>
      <c r="D60" s="301"/>
      <c r="E60" s="302"/>
      <c r="F60" s="302"/>
      <c r="G60" s="303"/>
      <c r="H60" s="283"/>
      <c r="I60" s="304"/>
      <c r="J60" s="304"/>
      <c r="K60" s="304"/>
      <c r="L60" s="257"/>
      <c r="N60" s="299"/>
      <c r="O60" s="299"/>
      <c r="AF60" s="257"/>
      <c r="AG60" s="257"/>
      <c r="AH60" s="257"/>
      <c r="AI60" s="257"/>
      <c r="AJ60" s="257"/>
      <c r="AK60" s="257"/>
      <c r="AL60" s="257"/>
      <c r="AO60" s="389"/>
      <c r="AS60" s="257"/>
      <c r="AT60" s="257"/>
      <c r="BG60" s="251"/>
      <c r="BH60" s="296"/>
      <c r="BI60" s="296"/>
    </row>
    <row r="61" spans="1:61" ht="28.5" customHeight="1" thickBot="1" x14ac:dyDescent="0.3">
      <c r="A61" s="665" t="s">
        <v>100</v>
      </c>
      <c r="B61" s="665"/>
      <c r="C61" s="665"/>
      <c r="D61" s="288"/>
      <c r="E61" s="665" t="s">
        <v>92</v>
      </c>
      <c r="F61" s="665"/>
      <c r="G61" s="665"/>
      <c r="H61" s="251"/>
      <c r="I61" s="251"/>
      <c r="J61" s="251"/>
      <c r="K61" s="251"/>
      <c r="L61" s="257"/>
      <c r="N61" s="694" t="s">
        <v>116</v>
      </c>
      <c r="O61" s="695"/>
      <c r="P61" s="367" t="s">
        <v>337</v>
      </c>
      <c r="Q61" s="368" t="s">
        <v>220</v>
      </c>
      <c r="R61" s="368" t="s">
        <v>221</v>
      </c>
      <c r="S61" s="368" t="s">
        <v>190</v>
      </c>
      <c r="T61" s="367" t="s">
        <v>338</v>
      </c>
      <c r="U61" s="367" t="s">
        <v>339</v>
      </c>
      <c r="V61" s="368" t="s">
        <v>123</v>
      </c>
      <c r="Z61" s="304"/>
      <c r="AA61" s="304"/>
      <c r="AF61" s="257"/>
      <c r="AG61" s="257"/>
      <c r="AH61" s="257"/>
      <c r="AI61" s="257"/>
      <c r="AJ61" s="257"/>
      <c r="AK61" s="257"/>
      <c r="AL61" s="257"/>
      <c r="AM61" s="271"/>
      <c r="AN61" s="271"/>
      <c r="AO61" s="271"/>
      <c r="AP61" s="271"/>
      <c r="AQ61" s="257"/>
      <c r="AR61" s="257"/>
      <c r="AS61" s="257"/>
      <c r="AT61" s="257"/>
      <c r="BG61" s="251"/>
      <c r="BH61" s="296"/>
      <c r="BI61" s="296"/>
    </row>
    <row r="62" spans="1:61" ht="14.25" customHeight="1" thickBot="1" x14ac:dyDescent="0.3">
      <c r="A62" s="255" t="s">
        <v>46</v>
      </c>
      <c r="B62" s="255" t="s">
        <v>14</v>
      </c>
      <c r="C62" s="255" t="s">
        <v>13</v>
      </c>
      <c r="D62" s="288"/>
      <c r="E62" s="255" t="s">
        <v>46</v>
      </c>
      <c r="F62" s="255" t="s">
        <v>14</v>
      </c>
      <c r="G62" s="255" t="s">
        <v>13</v>
      </c>
      <c r="H62" s="251"/>
      <c r="I62" s="251"/>
      <c r="J62" s="251"/>
      <c r="K62" s="251"/>
      <c r="L62" s="257"/>
      <c r="N62" s="696" t="s">
        <v>340</v>
      </c>
      <c r="O62" s="697"/>
      <c r="P62" s="364">
        <v>14.15</v>
      </c>
      <c r="Q62" s="374">
        <v>50</v>
      </c>
      <c r="R62" s="364">
        <v>64.040000000000006</v>
      </c>
      <c r="S62" s="364"/>
      <c r="T62" s="364">
        <v>17.204999999999998</v>
      </c>
      <c r="U62" s="364">
        <v>0.11</v>
      </c>
      <c r="V62" s="365">
        <v>17.100000000000001</v>
      </c>
      <c r="W62" s="268"/>
      <c r="AB62" s="304"/>
      <c r="AC62" s="304"/>
      <c r="AD62" s="304"/>
      <c r="AE62" s="304"/>
      <c r="AF62" s="266"/>
      <c r="AG62" s="266"/>
      <c r="AH62" s="266"/>
      <c r="AI62" s="266"/>
      <c r="AJ62" s="257"/>
      <c r="AK62" s="257"/>
      <c r="AL62" s="257"/>
      <c r="AM62" s="271"/>
      <c r="AN62" s="271"/>
      <c r="AO62" s="271"/>
      <c r="AP62" s="271"/>
      <c r="AQ62" s="257"/>
      <c r="AR62" s="257"/>
      <c r="AS62" s="266"/>
      <c r="AT62" s="257"/>
      <c r="BG62" s="251"/>
      <c r="BH62" s="296"/>
      <c r="BI62" s="296"/>
    </row>
    <row r="63" spans="1:61" ht="14.25" customHeight="1" x14ac:dyDescent="0.25">
      <c r="A63" s="255">
        <v>10</v>
      </c>
      <c r="B63" s="255">
        <v>0</v>
      </c>
      <c r="C63" s="255">
        <f>(A63-B63)</f>
        <v>10</v>
      </c>
      <c r="D63" s="288"/>
      <c r="E63" s="255">
        <v>10</v>
      </c>
      <c r="F63" s="255">
        <v>0</v>
      </c>
      <c r="G63" s="255">
        <f>(E63-F63)</f>
        <v>10</v>
      </c>
      <c r="H63" s="251"/>
      <c r="I63" s="251"/>
      <c r="J63" s="251"/>
      <c r="K63" s="251"/>
      <c r="L63" s="251"/>
      <c r="M63" s="255" t="s">
        <v>63</v>
      </c>
      <c r="N63" s="265"/>
      <c r="O63" s="265"/>
      <c r="P63" s="265"/>
      <c r="Q63" s="265"/>
      <c r="R63" s="265"/>
      <c r="S63" s="265"/>
      <c r="T63" s="265"/>
      <c r="U63" s="265"/>
      <c r="V63" s="265"/>
      <c r="W63" s="366"/>
      <c r="AF63" s="257"/>
      <c r="AG63" s="257"/>
      <c r="AH63" s="257"/>
      <c r="AI63" s="257"/>
      <c r="AJ63" s="271"/>
      <c r="AK63" s="271"/>
      <c r="AL63" s="271"/>
      <c r="AM63" s="271"/>
      <c r="AN63" s="271"/>
      <c r="AO63" s="271"/>
      <c r="AP63" s="271"/>
      <c r="AQ63" s="257"/>
      <c r="AR63" s="257"/>
      <c r="AS63" s="257"/>
      <c r="AT63" s="257"/>
      <c r="BG63" s="251"/>
      <c r="BH63" s="296"/>
      <c r="BI63" s="296"/>
    </row>
    <row r="64" spans="1:61" ht="14.25" customHeight="1" x14ac:dyDescent="0.25">
      <c r="A64" s="212"/>
      <c r="B64" s="213"/>
      <c r="C64" s="213"/>
      <c r="D64" s="214"/>
      <c r="E64" s="223"/>
      <c r="F64" s="223"/>
      <c r="G64" s="224"/>
      <c r="H64" s="271"/>
      <c r="L64" s="251"/>
      <c r="M64" s="289" t="s">
        <v>20</v>
      </c>
      <c r="N64" s="255"/>
      <c r="O64" s="255"/>
      <c r="Q64" s="353" t="s">
        <v>47</v>
      </c>
      <c r="R64" s="354"/>
      <c r="S64" s="355"/>
      <c r="U64" s="353" t="s">
        <v>126</v>
      </c>
      <c r="V64" s="354"/>
      <c r="W64" s="258">
        <f>(25*U65)</f>
        <v>50</v>
      </c>
      <c r="AF64" s="257"/>
      <c r="AG64" s="257"/>
      <c r="AH64" s="257"/>
      <c r="AI64" s="257"/>
      <c r="AJ64" s="271"/>
      <c r="AK64" s="271"/>
      <c r="AL64" s="271"/>
      <c r="AM64" s="271"/>
      <c r="AN64" s="271"/>
      <c r="AO64" s="271"/>
      <c r="AP64" s="271"/>
      <c r="AQ64" s="257"/>
      <c r="AR64" s="257"/>
      <c r="AS64" s="257"/>
      <c r="AT64" s="257"/>
      <c r="BG64" s="251"/>
      <c r="BH64" s="296"/>
      <c r="BI64" s="296"/>
    </row>
    <row r="65" spans="1:72" s="143" customFormat="1" ht="14.25" customHeight="1" x14ac:dyDescent="0.25">
      <c r="A65" s="665" t="s">
        <v>96</v>
      </c>
      <c r="B65" s="665"/>
      <c r="C65" s="665"/>
      <c r="D65" s="288"/>
      <c r="E65" s="665" t="s">
        <v>88</v>
      </c>
      <c r="F65" s="665"/>
      <c r="G65" s="665"/>
      <c r="H65" s="251"/>
      <c r="I65" s="665" t="s">
        <v>103</v>
      </c>
      <c r="J65" s="665"/>
      <c r="K65" s="665"/>
      <c r="L65" s="251"/>
      <c r="M65" s="289" t="s">
        <v>21</v>
      </c>
      <c r="N65" s="290">
        <f>(F63)*10</f>
        <v>0</v>
      </c>
      <c r="O65" s="291">
        <f>(10*N65)/10</f>
        <v>0</v>
      </c>
      <c r="P65"/>
      <c r="Q65" s="356">
        <v>6</v>
      </c>
      <c r="R65" s="357"/>
      <c r="S65" s="279">
        <f>Q65/6</f>
        <v>1</v>
      </c>
      <c r="T65"/>
      <c r="U65" s="356">
        <v>2</v>
      </c>
      <c r="V65" s="357"/>
      <c r="W65" s="251"/>
      <c r="X65"/>
      <c r="Y65"/>
      <c r="Z65"/>
      <c r="AA65"/>
      <c r="AB65"/>
      <c r="AC65"/>
      <c r="AD65"/>
      <c r="AE65"/>
      <c r="AF65" s="257"/>
      <c r="AG65" s="257"/>
      <c r="AH65" s="257"/>
      <c r="AI65" s="257"/>
      <c r="AJ65"/>
      <c r="AK65"/>
      <c r="AL65"/>
      <c r="AS65" s="257"/>
      <c r="AT65" s="266"/>
      <c r="AU65" s="305"/>
      <c r="AV65" s="305"/>
      <c r="AW65" s="305"/>
      <c r="AX65" s="305"/>
      <c r="AY65" s="305"/>
      <c r="AZ65" s="305"/>
      <c r="BA65" s="305"/>
      <c r="BB65" s="305"/>
      <c r="BC65" s="305"/>
      <c r="BD65" s="305"/>
      <c r="BE65" s="305"/>
      <c r="BF65" s="305"/>
      <c r="BG65" s="305"/>
      <c r="BH65" s="306"/>
      <c r="BI65" s="306"/>
      <c r="BJ65" s="304"/>
      <c r="BK65" s="304"/>
      <c r="BL65" s="304"/>
      <c r="BM65" s="304"/>
      <c r="BN65" s="304"/>
      <c r="BO65" s="304"/>
      <c r="BP65" s="304"/>
      <c r="BQ65" s="304"/>
      <c r="BR65" s="304"/>
      <c r="BS65" s="304"/>
      <c r="BT65" s="304"/>
    </row>
    <row r="66" spans="1:72" ht="14.25" customHeight="1" x14ac:dyDescent="0.25">
      <c r="A66" s="255" t="s">
        <v>46</v>
      </c>
      <c r="B66" s="255" t="s">
        <v>14</v>
      </c>
      <c r="C66" s="255" t="s">
        <v>13</v>
      </c>
      <c r="D66" s="288"/>
      <c r="E66" s="255" t="s">
        <v>46</v>
      </c>
      <c r="F66" s="255" t="s">
        <v>14</v>
      </c>
      <c r="G66" s="255" t="s">
        <v>13</v>
      </c>
      <c r="H66" s="251"/>
      <c r="I66" s="255" t="s">
        <v>46</v>
      </c>
      <c r="J66" s="255" t="s">
        <v>14</v>
      </c>
      <c r="K66" s="255" t="s">
        <v>13</v>
      </c>
      <c r="L66" s="257"/>
      <c r="N66" s="290">
        <f>(B63)*10</f>
        <v>0</v>
      </c>
      <c r="O66" s="291">
        <f>(10*N66)/10</f>
        <v>0</v>
      </c>
      <c r="Q66" s="251"/>
      <c r="R66" s="251"/>
      <c r="S66" s="251"/>
      <c r="U66" s="251"/>
      <c r="V66" s="251"/>
      <c r="W66" s="355"/>
      <c r="AF66" s="257"/>
      <c r="AG66" s="257"/>
      <c r="AH66" s="257"/>
      <c r="AI66" s="257"/>
      <c r="AJ66" s="271"/>
      <c r="AK66" s="271"/>
      <c r="AL66" s="271"/>
      <c r="AQ66" s="271"/>
      <c r="AR66" s="271"/>
      <c r="AS66" s="257"/>
      <c r="AT66" s="257"/>
      <c r="BG66" s="251"/>
      <c r="BH66" s="296"/>
      <c r="BI66" s="296"/>
    </row>
    <row r="67" spans="1:72" ht="14.25" customHeight="1" x14ac:dyDescent="0.25">
      <c r="A67" s="255">
        <v>14</v>
      </c>
      <c r="B67" s="255">
        <v>0</v>
      </c>
      <c r="C67" s="255">
        <f>(A67-B67)</f>
        <v>14</v>
      </c>
      <c r="D67" s="288"/>
      <c r="E67" s="255">
        <v>13</v>
      </c>
      <c r="F67" s="255">
        <v>2</v>
      </c>
      <c r="G67" s="255">
        <f>(E67-F67)</f>
        <v>11</v>
      </c>
      <c r="H67" s="251"/>
      <c r="I67" s="255">
        <v>7</v>
      </c>
      <c r="J67" s="255">
        <v>0</v>
      </c>
      <c r="K67" s="255">
        <f>(I67-J67)</f>
        <v>7</v>
      </c>
      <c r="L67" s="251"/>
      <c r="M67" s="255" t="s">
        <v>53</v>
      </c>
      <c r="N67" s="265"/>
      <c r="O67" s="265"/>
      <c r="Q67" s="208" t="s">
        <v>18</v>
      </c>
      <c r="R67" s="208"/>
      <c r="S67" s="208"/>
      <c r="U67" s="353" t="s">
        <v>188</v>
      </c>
      <c r="V67" s="354"/>
      <c r="W67" s="258">
        <f>(33.333333333*U68)</f>
        <v>99.999999998999996</v>
      </c>
      <c r="AF67" s="257"/>
      <c r="AG67" s="257"/>
      <c r="AH67" s="257"/>
      <c r="AI67" s="257"/>
      <c r="AJ67" s="271"/>
      <c r="AK67" s="271"/>
      <c r="AL67" s="271"/>
      <c r="AQ67" s="271"/>
      <c r="AR67" s="271"/>
      <c r="AS67" s="257"/>
      <c r="AT67" s="257"/>
      <c r="BG67" s="251"/>
      <c r="BH67" s="296"/>
      <c r="BI67" s="296"/>
    </row>
    <row r="68" spans="1:72" ht="14.25" customHeight="1" x14ac:dyDescent="0.25">
      <c r="A68" s="251"/>
      <c r="B68" s="251"/>
      <c r="C68" s="255"/>
      <c r="D68" s="288"/>
      <c r="E68" s="251"/>
      <c r="F68" s="251"/>
      <c r="G68" s="255"/>
      <c r="H68" s="255"/>
      <c r="I68" s="251"/>
      <c r="J68" s="251"/>
      <c r="K68" s="251"/>
      <c r="L68" s="251"/>
      <c r="M68" s="289" t="s">
        <v>20</v>
      </c>
      <c r="N68" s="255"/>
      <c r="O68" s="255"/>
      <c r="Q68" s="258">
        <v>4</v>
      </c>
      <c r="R68" s="258"/>
      <c r="S68" s="279">
        <f>Q68/6</f>
        <v>0.66666666666666663</v>
      </c>
      <c r="U68" s="356">
        <v>3</v>
      </c>
      <c r="V68" s="357"/>
      <c r="W68" s="251"/>
      <c r="AF68" s="257"/>
      <c r="AG68" s="307"/>
      <c r="AH68" s="257"/>
      <c r="AI68" s="257"/>
      <c r="AJ68" s="271"/>
      <c r="AK68" s="271"/>
      <c r="AL68" s="271"/>
      <c r="AS68" s="257"/>
      <c r="AT68" s="257"/>
      <c r="BG68" s="251"/>
      <c r="BH68" s="296"/>
      <c r="BI68" s="296"/>
    </row>
    <row r="69" spans="1:72" ht="14.25" customHeight="1" x14ac:dyDescent="0.25">
      <c r="A69" s="665" t="s">
        <v>93</v>
      </c>
      <c r="B69" s="665"/>
      <c r="C69" s="665"/>
      <c r="D69" s="251"/>
      <c r="E69" s="665" t="s">
        <v>85</v>
      </c>
      <c r="F69" s="665"/>
      <c r="G69" s="665"/>
      <c r="H69" s="255"/>
      <c r="I69" s="665" t="s">
        <v>101</v>
      </c>
      <c r="J69" s="665"/>
      <c r="K69" s="665"/>
      <c r="L69" s="251"/>
      <c r="M69" s="289" t="s">
        <v>21</v>
      </c>
      <c r="N69" s="290">
        <f>(F67)*10</f>
        <v>20</v>
      </c>
      <c r="O69" s="291">
        <f>(10*N69)/10</f>
        <v>20</v>
      </c>
      <c r="Q69" s="251"/>
      <c r="R69" s="251"/>
      <c r="S69" s="251"/>
      <c r="U69" s="251"/>
      <c r="V69" s="251"/>
      <c r="W69" s="355"/>
      <c r="AF69" s="308"/>
      <c r="AG69" s="309"/>
      <c r="AH69" s="257"/>
      <c r="AI69" s="257"/>
      <c r="AJ69" s="271"/>
      <c r="AK69" s="271"/>
      <c r="AL69" s="271"/>
      <c r="AM69" s="271"/>
      <c r="AN69" s="271"/>
      <c r="AO69" s="271"/>
      <c r="AP69" s="271"/>
      <c r="AQ69" s="271"/>
      <c r="AR69" s="271"/>
      <c r="AS69" s="257"/>
      <c r="AT69" s="257"/>
      <c r="BG69" s="251"/>
      <c r="BH69" s="296"/>
      <c r="BI69" s="296"/>
    </row>
    <row r="70" spans="1:72" ht="14.25" customHeight="1" x14ac:dyDescent="0.25">
      <c r="A70" s="255" t="s">
        <v>46</v>
      </c>
      <c r="B70" s="255" t="s">
        <v>14</v>
      </c>
      <c r="C70" s="255" t="s">
        <v>13</v>
      </c>
      <c r="D70" s="255"/>
      <c r="E70" s="255" t="s">
        <v>46</v>
      </c>
      <c r="F70" s="255" t="s">
        <v>14</v>
      </c>
      <c r="G70" s="255" t="s">
        <v>13</v>
      </c>
      <c r="H70" s="255"/>
      <c r="I70" s="255" t="s">
        <v>46</v>
      </c>
      <c r="J70" s="255" t="s">
        <v>14</v>
      </c>
      <c r="K70" s="255" t="s">
        <v>13</v>
      </c>
      <c r="L70" s="251"/>
      <c r="M70" s="289" t="s">
        <v>22</v>
      </c>
      <c r="N70" s="290">
        <f>(B67)*10</f>
        <v>0</v>
      </c>
      <c r="O70" s="291">
        <f>(10*N70)/10</f>
        <v>0</v>
      </c>
      <c r="Q70" s="208" t="s">
        <v>48</v>
      </c>
      <c r="R70" s="208"/>
      <c r="S70" s="208"/>
      <c r="U70" s="353" t="s">
        <v>189</v>
      </c>
      <c r="V70" s="354"/>
      <c r="W70" s="258">
        <f>(100*U71)</f>
        <v>100</v>
      </c>
      <c r="AF70" s="308"/>
      <c r="AG70" s="309"/>
      <c r="AH70" s="257"/>
      <c r="AI70" s="257"/>
      <c r="AJ70" s="271"/>
      <c r="AK70" s="271"/>
      <c r="AL70" s="271"/>
      <c r="AM70" s="271"/>
      <c r="AN70" s="271"/>
      <c r="AO70" s="271"/>
      <c r="AP70" s="271"/>
      <c r="AQ70" s="271"/>
      <c r="AR70" s="271"/>
      <c r="AS70" s="257"/>
      <c r="AT70" s="257"/>
      <c r="BG70" s="251"/>
      <c r="BH70" s="296"/>
      <c r="BI70" s="296"/>
    </row>
    <row r="71" spans="1:72" ht="14.25" customHeight="1" x14ac:dyDescent="0.25">
      <c r="A71" s="255">
        <v>8</v>
      </c>
      <c r="B71" s="255">
        <v>0</v>
      </c>
      <c r="C71" s="255">
        <f>(A71-B71)</f>
        <v>8</v>
      </c>
      <c r="D71" s="251"/>
      <c r="E71" s="255">
        <v>8</v>
      </c>
      <c r="F71" s="255">
        <v>0</v>
      </c>
      <c r="G71" s="255">
        <f>(E71-F71)</f>
        <v>8</v>
      </c>
      <c r="H71" s="255"/>
      <c r="I71" s="255">
        <v>7</v>
      </c>
      <c r="J71" s="255">
        <v>0</v>
      </c>
      <c r="K71" s="255">
        <f>(I71-J71)</f>
        <v>7</v>
      </c>
      <c r="L71" s="257"/>
      <c r="M71" s="255" t="s">
        <v>60</v>
      </c>
      <c r="N71" s="290">
        <f>(J67+J91)*10</f>
        <v>0</v>
      </c>
      <c r="O71" s="291">
        <f>(10*N71)/10</f>
        <v>0</v>
      </c>
      <c r="Q71" s="358">
        <f>SUM(AA8+AB8+Z10+Z6+AA10+AB10)/7</f>
        <v>8.5714285714285712</v>
      </c>
      <c r="R71" s="358"/>
      <c r="S71" s="358"/>
      <c r="U71" s="356">
        <v>1</v>
      </c>
      <c r="V71" s="357"/>
      <c r="W71" s="251"/>
      <c r="AF71" s="308"/>
      <c r="AG71" s="309"/>
      <c r="AH71" s="271"/>
      <c r="AI71" s="271"/>
      <c r="AQ71" s="271"/>
      <c r="AR71" s="271"/>
      <c r="AS71" s="271"/>
      <c r="AT71" s="257"/>
      <c r="BG71" s="251"/>
      <c r="BH71" s="296"/>
      <c r="BI71" s="296"/>
    </row>
    <row r="72" spans="1:72" ht="14.25" customHeight="1" x14ac:dyDescent="0.25">
      <c r="A72" s="255"/>
      <c r="B72" s="255"/>
      <c r="C72" s="255"/>
      <c r="D72" s="310"/>
      <c r="E72" s="255"/>
      <c r="F72" s="255"/>
      <c r="G72" s="255"/>
      <c r="H72" s="255"/>
      <c r="I72" s="255"/>
      <c r="J72" s="255"/>
      <c r="K72" s="251"/>
      <c r="L72" s="257"/>
      <c r="M72" s="289" t="s">
        <v>20</v>
      </c>
      <c r="N72" s="255"/>
      <c r="O72" s="255"/>
      <c r="U72" s="251"/>
      <c r="V72" s="251"/>
      <c r="W72" s="363"/>
      <c r="AF72" s="308"/>
      <c r="AG72" s="309"/>
      <c r="AH72" s="271"/>
      <c r="AI72" s="271"/>
      <c r="AM72" s="311"/>
      <c r="AN72" s="311"/>
      <c r="AO72" s="311"/>
      <c r="AP72" s="311"/>
      <c r="AQ72" s="271"/>
      <c r="AR72" s="271"/>
      <c r="AS72" s="271"/>
      <c r="AT72" s="257"/>
      <c r="BG72" s="251"/>
      <c r="BH72" s="296"/>
      <c r="BI72" s="296"/>
    </row>
    <row r="73" spans="1:72" ht="14.25" customHeight="1" x14ac:dyDescent="0.25">
      <c r="A73" s="665" t="s">
        <v>271</v>
      </c>
      <c r="B73" s="665"/>
      <c r="C73" s="665"/>
      <c r="E73" s="665" t="s">
        <v>288</v>
      </c>
      <c r="F73" s="665"/>
      <c r="G73" s="665"/>
      <c r="I73" s="665" t="s">
        <v>276</v>
      </c>
      <c r="J73" s="665"/>
      <c r="K73" s="665"/>
      <c r="L73" s="257"/>
      <c r="M73" s="289" t="s">
        <v>21</v>
      </c>
      <c r="N73" s="290">
        <f>(F71)*10</f>
        <v>0</v>
      </c>
      <c r="O73" s="291">
        <f>(10*N73)/10</f>
        <v>0</v>
      </c>
      <c r="U73" s="361" t="s">
        <v>210</v>
      </c>
      <c r="V73" s="362"/>
      <c r="W73" s="264">
        <f>(U74/6)*100</f>
        <v>50</v>
      </c>
      <c r="AF73" s="308"/>
      <c r="AG73" s="309"/>
      <c r="AM73" s="312"/>
      <c r="AN73" s="312"/>
      <c r="AO73" s="312"/>
      <c r="AP73" s="312"/>
      <c r="AQ73" s="271"/>
      <c r="AR73" s="271"/>
      <c r="AT73" s="257"/>
      <c r="BG73" s="251"/>
      <c r="BH73" s="296"/>
      <c r="BI73" s="296"/>
    </row>
    <row r="74" spans="1:72" ht="14.25" customHeight="1" x14ac:dyDescent="0.25">
      <c r="A74" s="255" t="s">
        <v>46</v>
      </c>
      <c r="B74" s="255" t="s">
        <v>14</v>
      </c>
      <c r="C74" s="255" t="s">
        <v>13</v>
      </c>
      <c r="E74" s="255" t="s">
        <v>46</v>
      </c>
      <c r="F74" s="255" t="s">
        <v>14</v>
      </c>
      <c r="G74" s="255" t="s">
        <v>13</v>
      </c>
      <c r="I74" s="255" t="s">
        <v>46</v>
      </c>
      <c r="J74" s="255" t="s">
        <v>14</v>
      </c>
      <c r="K74" s="255" t="s">
        <v>13</v>
      </c>
      <c r="L74" s="257"/>
      <c r="M74" s="289" t="s">
        <v>22</v>
      </c>
      <c r="N74" s="290">
        <f>(B71)*10</f>
        <v>0</v>
      </c>
      <c r="O74" s="291">
        <f>(10*N74)/10</f>
        <v>0</v>
      </c>
      <c r="U74" s="359">
        <v>3</v>
      </c>
      <c r="V74" s="360"/>
      <c r="AF74" s="308"/>
      <c r="AG74" s="309"/>
      <c r="AH74" s="271"/>
      <c r="AI74" s="271"/>
      <c r="AJ74" s="271"/>
      <c r="AK74" s="271"/>
      <c r="AL74" s="271"/>
      <c r="AS74" s="271"/>
      <c r="AT74" s="271"/>
      <c r="BG74" s="251"/>
      <c r="BH74" s="296"/>
      <c r="BI74" s="296"/>
    </row>
    <row r="75" spans="1:72" ht="14.25" customHeight="1" x14ac:dyDescent="0.25">
      <c r="A75" s="255">
        <v>13</v>
      </c>
      <c r="B75" s="255">
        <v>0</v>
      </c>
      <c r="C75" s="255">
        <f>(A75-B75)</f>
        <v>13</v>
      </c>
      <c r="E75" s="255">
        <v>13</v>
      </c>
      <c r="F75" s="255">
        <v>0</v>
      </c>
      <c r="G75" s="255">
        <f>(E75-F75)</f>
        <v>13</v>
      </c>
      <c r="I75" s="255">
        <v>7</v>
      </c>
      <c r="J75" s="255">
        <v>0</v>
      </c>
      <c r="K75" s="255">
        <f>(I75-J75)</f>
        <v>7</v>
      </c>
      <c r="L75" s="251"/>
      <c r="M75" s="255" t="s">
        <v>66</v>
      </c>
      <c r="N75" s="290">
        <f>(J71)*10</f>
        <v>0</v>
      </c>
      <c r="O75" s="291">
        <f>(10*N75)/10</f>
        <v>0</v>
      </c>
      <c r="T75" s="311"/>
      <c r="U75" s="311"/>
      <c r="V75" s="311"/>
      <c r="AF75" s="308"/>
      <c r="AG75" s="255"/>
      <c r="AH75" s="271"/>
      <c r="AI75" s="271"/>
      <c r="AJ75" s="271"/>
      <c r="AK75" s="271"/>
      <c r="AL75" s="271"/>
      <c r="AS75" s="271"/>
      <c r="AT75" s="271"/>
      <c r="BG75" s="251"/>
      <c r="BH75" s="296"/>
      <c r="BI75" s="296"/>
    </row>
    <row r="76" spans="1:72" ht="14.25" customHeight="1" x14ac:dyDescent="0.25">
      <c r="I76" s="251"/>
      <c r="J76" s="251"/>
      <c r="K76" s="251"/>
      <c r="L76" s="251"/>
      <c r="M76" s="289" t="s">
        <v>20</v>
      </c>
      <c r="N76" s="255"/>
      <c r="O76" s="255"/>
      <c r="AF76" s="308"/>
      <c r="AG76" s="313"/>
      <c r="AH76" s="271"/>
      <c r="AI76" s="271"/>
      <c r="AS76" s="271"/>
      <c r="BG76" s="251"/>
      <c r="BH76" s="296"/>
      <c r="BI76" s="296"/>
    </row>
    <row r="77" spans="1:72" ht="14.25" customHeight="1" x14ac:dyDescent="0.25">
      <c r="A77" s="665" t="s">
        <v>272</v>
      </c>
      <c r="B77" s="665"/>
      <c r="C77" s="665"/>
      <c r="E77" s="665" t="s">
        <v>287</v>
      </c>
      <c r="F77" s="665"/>
      <c r="G77" s="665"/>
      <c r="I77" s="665" t="s">
        <v>277</v>
      </c>
      <c r="J77" s="665"/>
      <c r="K77" s="665"/>
      <c r="L77" s="251"/>
      <c r="M77" s="289" t="s">
        <v>21</v>
      </c>
      <c r="N77" s="290">
        <f>(F75)*10</f>
        <v>0</v>
      </c>
      <c r="O77" s="291">
        <f>(10*N77)/10</f>
        <v>0</v>
      </c>
      <c r="AF77" s="271"/>
      <c r="AG77" s="271"/>
      <c r="AH77" s="271"/>
      <c r="AI77" s="271"/>
      <c r="AJ77" s="311"/>
      <c r="AK77" s="311"/>
      <c r="AL77" s="311"/>
      <c r="AQ77" s="271"/>
      <c r="AR77" s="271"/>
      <c r="AS77" s="271"/>
      <c r="AT77" s="271"/>
      <c r="BG77" s="251"/>
      <c r="BH77" s="296"/>
      <c r="BI77" s="296"/>
    </row>
    <row r="78" spans="1:72" ht="14.25" customHeight="1" x14ac:dyDescent="0.25">
      <c r="A78" s="255" t="s">
        <v>46</v>
      </c>
      <c r="B78" s="255" t="s">
        <v>14</v>
      </c>
      <c r="C78" s="255" t="s">
        <v>13</v>
      </c>
      <c r="E78" s="255" t="s">
        <v>46</v>
      </c>
      <c r="F78" s="255" t="s">
        <v>14</v>
      </c>
      <c r="G78" s="255" t="s">
        <v>13</v>
      </c>
      <c r="I78" s="255" t="s">
        <v>46</v>
      </c>
      <c r="J78" s="255" t="s">
        <v>14</v>
      </c>
      <c r="K78" s="255" t="s">
        <v>13</v>
      </c>
      <c r="L78" s="251"/>
      <c r="M78" s="289" t="s">
        <v>22</v>
      </c>
      <c r="N78" s="290">
        <f>(B75)*10</f>
        <v>0</v>
      </c>
      <c r="O78" s="291">
        <f>(10*N78)/10</f>
        <v>0</v>
      </c>
      <c r="AB78" s="271"/>
      <c r="AC78" s="271"/>
      <c r="AD78" s="271"/>
      <c r="AE78" s="271"/>
      <c r="AF78" s="271"/>
      <c r="AG78" s="271"/>
      <c r="AH78" s="271"/>
      <c r="AI78" s="271"/>
      <c r="AJ78" s="312"/>
      <c r="AK78" s="312"/>
      <c r="AL78" s="312"/>
      <c r="AQ78" s="271"/>
      <c r="AR78" s="271"/>
      <c r="AS78" s="271"/>
      <c r="AT78" s="271"/>
      <c r="AU78"/>
      <c r="AV78"/>
      <c r="AW78"/>
      <c r="BG78" s="251"/>
      <c r="BH78" s="296"/>
      <c r="BI78" s="296"/>
    </row>
    <row r="79" spans="1:72" ht="14.25" customHeight="1" x14ac:dyDescent="0.25">
      <c r="A79" s="255">
        <v>9</v>
      </c>
      <c r="B79" s="255">
        <v>0</v>
      </c>
      <c r="C79" s="255">
        <f>(A79-B79)</f>
        <v>9</v>
      </c>
      <c r="E79" s="255">
        <v>9</v>
      </c>
      <c r="F79" s="255">
        <v>0</v>
      </c>
      <c r="G79" s="255">
        <f>(E79-F79)</f>
        <v>9</v>
      </c>
      <c r="I79" s="255">
        <v>7</v>
      </c>
      <c r="J79" s="255">
        <v>0</v>
      </c>
      <c r="K79" s="255">
        <f>(I79-J79)</f>
        <v>7</v>
      </c>
      <c r="L79" s="251"/>
      <c r="M79" s="255" t="s">
        <v>269</v>
      </c>
      <c r="N79" s="290">
        <f>(J75)*10</f>
        <v>0</v>
      </c>
      <c r="O79" s="291">
        <f>(10*N79)/10</f>
        <v>0</v>
      </c>
      <c r="R79" t="s">
        <v>263</v>
      </c>
      <c r="AT79" s="271"/>
      <c r="AU79"/>
      <c r="AV79"/>
      <c r="AW79"/>
      <c r="AX79" s="311"/>
    </row>
    <row r="80" spans="1:72" ht="14.25" customHeight="1" x14ac:dyDescent="0.25">
      <c r="L80" s="251"/>
      <c r="M80" s="289" t="s">
        <v>20</v>
      </c>
      <c r="N80" s="255"/>
      <c r="O80" s="255"/>
      <c r="R80" s="253">
        <f>SUM(E63+E95+E67+E91)</f>
        <v>39</v>
      </c>
      <c r="S80" s="253">
        <f>SUM(G63+G67+G91+G95)</f>
        <v>37</v>
      </c>
      <c r="T80">
        <f>R80-S80</f>
        <v>2</v>
      </c>
      <c r="AQ80" s="311"/>
      <c r="AR80" s="311"/>
      <c r="AT80" s="271"/>
      <c r="AU80"/>
      <c r="AV80"/>
      <c r="AW80"/>
      <c r="AX80" s="311"/>
    </row>
    <row r="81" spans="1:63" ht="14.25" customHeight="1" x14ac:dyDescent="0.25">
      <c r="A81" s="665" t="s">
        <v>275</v>
      </c>
      <c r="B81" s="665"/>
      <c r="C81" s="665"/>
      <c r="E81" s="665" t="s">
        <v>274</v>
      </c>
      <c r="F81" s="665"/>
      <c r="G81" s="665"/>
      <c r="I81" s="665" t="s">
        <v>273</v>
      </c>
      <c r="J81" s="665"/>
      <c r="K81" s="665"/>
      <c r="L81" s="251"/>
      <c r="M81" s="289" t="s">
        <v>21</v>
      </c>
      <c r="N81" s="290">
        <f>(F79)*10</f>
        <v>0</v>
      </c>
      <c r="O81" s="291">
        <f>(10*N81)/10</f>
        <v>0</v>
      </c>
      <c r="R81">
        <f>100/R80</f>
        <v>2.5641025641025643</v>
      </c>
      <c r="S81" s="314">
        <f>100-10</f>
        <v>90</v>
      </c>
      <c r="AQ81" s="312"/>
      <c r="AR81" s="312"/>
      <c r="AT81" s="271"/>
      <c r="AU81"/>
      <c r="AV81"/>
      <c r="AW81"/>
      <c r="AX81" s="311"/>
    </row>
    <row r="82" spans="1:63" ht="14.25" customHeight="1" x14ac:dyDescent="0.25">
      <c r="A82" s="255" t="s">
        <v>46</v>
      </c>
      <c r="B82" s="255" t="s">
        <v>14</v>
      </c>
      <c r="C82" s="255" t="s">
        <v>13</v>
      </c>
      <c r="E82" s="255" t="s">
        <v>46</v>
      </c>
      <c r="F82" s="255" t="s">
        <v>14</v>
      </c>
      <c r="G82" s="255" t="s">
        <v>13</v>
      </c>
      <c r="I82" s="255" t="s">
        <v>46</v>
      </c>
      <c r="J82" s="255" t="s">
        <v>14</v>
      </c>
      <c r="K82" s="255" t="s">
        <v>13</v>
      </c>
      <c r="L82" s="251"/>
      <c r="M82" s="289" t="s">
        <v>22</v>
      </c>
      <c r="N82" s="290">
        <f>(B79)*10</f>
        <v>0</v>
      </c>
      <c r="O82" s="291">
        <f>(10*N82)/10</f>
        <v>0</v>
      </c>
      <c r="AB82" s="271"/>
      <c r="AC82" s="271"/>
      <c r="AD82" s="271"/>
      <c r="AE82" s="271"/>
      <c r="AF82" s="271"/>
      <c r="AG82" s="271"/>
      <c r="AH82" s="271"/>
      <c r="AI82" s="271"/>
      <c r="AS82" s="271"/>
      <c r="AU82"/>
      <c r="AV82"/>
      <c r="AW82"/>
      <c r="BB82" s="255"/>
      <c r="BC82" s="252"/>
      <c r="BD82" s="252"/>
      <c r="BG82" s="251"/>
      <c r="BH82" s="251"/>
      <c r="BI82" s="251"/>
    </row>
    <row r="83" spans="1:63" ht="14.25" customHeight="1" x14ac:dyDescent="0.25">
      <c r="A83" s="255">
        <v>12</v>
      </c>
      <c r="B83" s="255">
        <v>1</v>
      </c>
      <c r="C83" s="255">
        <f>(A83-B83)</f>
        <v>11</v>
      </c>
      <c r="E83" s="255">
        <v>12</v>
      </c>
      <c r="F83" s="255">
        <v>0</v>
      </c>
      <c r="G83" s="255">
        <f>(E83-F83)</f>
        <v>12</v>
      </c>
      <c r="I83" s="255">
        <v>7</v>
      </c>
      <c r="J83" s="255">
        <v>1</v>
      </c>
      <c r="K83" s="255">
        <f>(I83-J83)</f>
        <v>6</v>
      </c>
      <c r="L83" s="251"/>
      <c r="M83" s="255" t="s">
        <v>278</v>
      </c>
      <c r="N83" s="290">
        <f>(J79)*10</f>
        <v>0</v>
      </c>
      <c r="O83" s="291">
        <f>(10*N83)/10</f>
        <v>0</v>
      </c>
      <c r="R83" t="s">
        <v>264</v>
      </c>
      <c r="AB83" s="271"/>
      <c r="AC83" s="271"/>
      <c r="AD83" s="271"/>
      <c r="AE83" s="271"/>
      <c r="AF83" s="271"/>
      <c r="AG83" s="271"/>
      <c r="AH83" s="271"/>
      <c r="AI83" s="271"/>
      <c r="AS83" s="271"/>
      <c r="AU83"/>
      <c r="AV83"/>
      <c r="AW83"/>
      <c r="BB83" s="255"/>
      <c r="BC83" s="252"/>
      <c r="BD83" s="252"/>
      <c r="BG83" s="251"/>
      <c r="BH83" s="251"/>
      <c r="BI83" s="251"/>
    </row>
    <row r="84" spans="1:63" ht="14.25" customHeight="1" x14ac:dyDescent="0.25">
      <c r="L84" s="251"/>
      <c r="M84" s="289" t="s">
        <v>20</v>
      </c>
      <c r="N84" s="255"/>
      <c r="O84" s="255"/>
      <c r="R84" s="253">
        <f>SUM(E87+E71+E83+E75+E79+E103)</f>
        <v>54</v>
      </c>
      <c r="S84" s="253">
        <f>SUM(G71+G83+G87+G75+G79+G103)</f>
        <v>53</v>
      </c>
      <c r="T84">
        <f>R84-S84</f>
        <v>1</v>
      </c>
      <c r="AU84"/>
      <c r="AV84"/>
      <c r="AW84"/>
    </row>
    <row r="85" spans="1:63" ht="14.25" customHeight="1" x14ac:dyDescent="0.25">
      <c r="A85" s="665" t="s">
        <v>95</v>
      </c>
      <c r="B85" s="665"/>
      <c r="C85" s="665"/>
      <c r="E85" s="665" t="s">
        <v>87</v>
      </c>
      <c r="F85" s="665"/>
      <c r="G85" s="665"/>
      <c r="I85" s="665" t="s">
        <v>102</v>
      </c>
      <c r="J85" s="665"/>
      <c r="K85" s="665"/>
      <c r="L85" s="251"/>
      <c r="M85" s="289" t="s">
        <v>21</v>
      </c>
      <c r="N85" s="290">
        <f>(F83)*10</f>
        <v>0</v>
      </c>
      <c r="O85" s="291">
        <f>(10*N85)/10</f>
        <v>0</v>
      </c>
      <c r="R85">
        <f>100/R84</f>
        <v>1.8518518518518519</v>
      </c>
      <c r="S85" s="314">
        <f>100-5</f>
        <v>95</v>
      </c>
      <c r="AB85" s="311"/>
      <c r="AC85" s="311"/>
      <c r="AD85" s="311"/>
      <c r="AE85" s="311"/>
      <c r="AF85" s="311"/>
      <c r="AG85" s="311"/>
      <c r="AH85" s="311"/>
      <c r="AI85" s="311"/>
      <c r="AS85" s="311"/>
      <c r="AT85" s="271"/>
      <c r="AU85"/>
      <c r="AV85"/>
      <c r="AW85"/>
      <c r="BF85" s="287"/>
    </row>
    <row r="86" spans="1:63" ht="14.25" customHeight="1" x14ac:dyDescent="0.25">
      <c r="A86" s="255" t="s">
        <v>46</v>
      </c>
      <c r="B86" s="255" t="s">
        <v>14</v>
      </c>
      <c r="C86" s="255" t="s">
        <v>13</v>
      </c>
      <c r="E86" s="255" t="s">
        <v>46</v>
      </c>
      <c r="F86" s="255" t="s">
        <v>14</v>
      </c>
      <c r="G86" s="255" t="s">
        <v>13</v>
      </c>
      <c r="I86" s="255" t="s">
        <v>46</v>
      </c>
      <c r="J86" s="255" t="s">
        <v>14</v>
      </c>
      <c r="K86" s="255" t="s">
        <v>13</v>
      </c>
      <c r="L86" s="251"/>
      <c r="M86" s="289" t="s">
        <v>22</v>
      </c>
      <c r="N86" s="290">
        <f>(B83)*10</f>
        <v>10</v>
      </c>
      <c r="O86" s="291">
        <f>(10*N86)/10</f>
        <v>10</v>
      </c>
      <c r="AB86" s="312"/>
      <c r="AC86" s="312"/>
      <c r="AD86" s="312"/>
      <c r="AE86" s="312"/>
      <c r="AF86" s="312"/>
      <c r="AG86" s="312"/>
      <c r="AH86" s="312"/>
      <c r="AI86" s="312"/>
      <c r="AS86" s="312"/>
      <c r="AT86" s="271"/>
      <c r="AU86"/>
      <c r="AV86"/>
      <c r="AW86"/>
      <c r="BF86" s="287"/>
    </row>
    <row r="87" spans="1:63" ht="14.25" customHeight="1" x14ac:dyDescent="0.25">
      <c r="A87" s="255">
        <v>8</v>
      </c>
      <c r="B87" s="255">
        <v>0</v>
      </c>
      <c r="C87" s="255">
        <f>(A87-B87)</f>
        <v>8</v>
      </c>
      <c r="E87" s="255">
        <v>7</v>
      </c>
      <c r="F87" s="255">
        <v>0</v>
      </c>
      <c r="G87" s="255">
        <f>(E87-F87)</f>
        <v>7</v>
      </c>
      <c r="I87" s="255">
        <v>7</v>
      </c>
      <c r="J87" s="255">
        <v>0</v>
      </c>
      <c r="K87" s="255">
        <f>(I87-J87)</f>
        <v>7</v>
      </c>
      <c r="L87" s="251"/>
      <c r="M87" s="255" t="s">
        <v>61</v>
      </c>
      <c r="N87" s="290">
        <f>(J83)*10</f>
        <v>10</v>
      </c>
      <c r="O87" s="291">
        <f>(10*N87)/10</f>
        <v>10</v>
      </c>
      <c r="R87" t="s">
        <v>265</v>
      </c>
      <c r="AU87"/>
      <c r="AV87"/>
      <c r="AW87"/>
    </row>
    <row r="88" spans="1:63" ht="14.25" customHeight="1" x14ac:dyDescent="0.25">
      <c r="L88" s="251"/>
      <c r="M88" s="289" t="s">
        <v>20</v>
      </c>
      <c r="N88" s="255"/>
      <c r="O88" s="255"/>
      <c r="R88" s="253">
        <f>SUM(E75+E79+I79+I75+A79+A75+A63+A67+A71+A83+A87+A91+A95+A99+A103+E63+E67+E71+E95+E99+E103+I67+I71+I83+I87+E91+E83+E87+6+16+6)</f>
        <v>269</v>
      </c>
      <c r="S88" s="253">
        <f>SUM(C75+C79+K79+K75+G75+G79+C67+C63+G83+G87+G91+C71+C83+C87+C91+C95+C99+C103+G63+G67+G71+G95+G99+K67+K71+K83+K87+G103+5+V33+6)</f>
        <v>256</v>
      </c>
      <c r="T88">
        <f>R88-S88</f>
        <v>13</v>
      </c>
      <c r="AT88" s="311"/>
      <c r="AU88"/>
      <c r="AV88"/>
      <c r="AW88"/>
    </row>
    <row r="89" spans="1:63" ht="14.25" customHeight="1" x14ac:dyDescent="0.25">
      <c r="A89" s="665" t="s">
        <v>97</v>
      </c>
      <c r="B89" s="665"/>
      <c r="C89" s="665"/>
      <c r="E89" s="665" t="s">
        <v>89</v>
      </c>
      <c r="F89" s="665"/>
      <c r="G89" s="665"/>
      <c r="I89" s="665" t="s">
        <v>285</v>
      </c>
      <c r="J89" s="665"/>
      <c r="K89" s="665"/>
      <c r="L89" s="251"/>
      <c r="M89" s="289" t="s">
        <v>21</v>
      </c>
      <c r="N89" s="290">
        <f>(F87)*10</f>
        <v>0</v>
      </c>
      <c r="O89" s="291">
        <f>(10*N89)/10</f>
        <v>0</v>
      </c>
      <c r="R89">
        <f>100/R88</f>
        <v>0.37174721189591076</v>
      </c>
      <c r="S89" s="314">
        <f>S88*R89</f>
        <v>95.167286245353154</v>
      </c>
      <c r="T89" s="253"/>
      <c r="U89" s="253"/>
      <c r="V89" s="253"/>
      <c r="W89" s="253"/>
      <c r="AT89" s="312"/>
      <c r="AU89"/>
      <c r="AV89"/>
      <c r="AW89"/>
    </row>
    <row r="90" spans="1:63" ht="14.25" customHeight="1" x14ac:dyDescent="0.25">
      <c r="A90" s="255" t="s">
        <v>46</v>
      </c>
      <c r="B90" s="255" t="s">
        <v>14</v>
      </c>
      <c r="C90" s="255" t="s">
        <v>13</v>
      </c>
      <c r="E90" s="255" t="s">
        <v>46</v>
      </c>
      <c r="F90" s="255" t="s">
        <v>14</v>
      </c>
      <c r="G90" s="255" t="s">
        <v>13</v>
      </c>
      <c r="I90" s="255" t="s">
        <v>46</v>
      </c>
      <c r="J90" s="255" t="s">
        <v>14</v>
      </c>
      <c r="K90" s="255" t="s">
        <v>13</v>
      </c>
      <c r="L90" s="251"/>
      <c r="M90" s="289" t="s">
        <v>22</v>
      </c>
      <c r="N90" s="290">
        <f>(B87)*10</f>
        <v>0</v>
      </c>
      <c r="O90" s="291">
        <f>(10*N90)/10</f>
        <v>0</v>
      </c>
      <c r="P90" s="253"/>
      <c r="Q90" s="253"/>
      <c r="R90" s="253"/>
      <c r="S90" s="253"/>
      <c r="T90" s="253"/>
      <c r="U90" s="253"/>
      <c r="V90" s="253"/>
      <c r="W90" s="253"/>
      <c r="AU90"/>
      <c r="AV90"/>
      <c r="AW90"/>
      <c r="BK90" s="253"/>
    </row>
    <row r="91" spans="1:63" ht="14.25" customHeight="1" x14ac:dyDescent="0.25">
      <c r="A91" s="255">
        <v>13</v>
      </c>
      <c r="B91" s="255">
        <v>0</v>
      </c>
      <c r="C91" s="255">
        <f>(A91-B91)</f>
        <v>13</v>
      </c>
      <c r="E91" s="255">
        <v>12</v>
      </c>
      <c r="F91" s="255">
        <v>0</v>
      </c>
      <c r="G91" s="255">
        <f>(E91-F91)</f>
        <v>12</v>
      </c>
      <c r="I91" s="255">
        <v>7</v>
      </c>
      <c r="J91" s="255">
        <v>0</v>
      </c>
      <c r="K91" s="255">
        <f>(I91-J91)</f>
        <v>7</v>
      </c>
      <c r="L91" s="251"/>
      <c r="M91" s="255" t="s">
        <v>62</v>
      </c>
      <c r="N91" s="290">
        <f>(J87)*10</f>
        <v>0</v>
      </c>
      <c r="O91" s="291">
        <f>(10*N91)/10</f>
        <v>0</v>
      </c>
      <c r="P91" s="253"/>
      <c r="Q91" s="253"/>
      <c r="R91" t="s">
        <v>266</v>
      </c>
      <c r="S91" s="253"/>
      <c r="T91" s="253"/>
      <c r="U91" s="253"/>
      <c r="V91" s="253"/>
      <c r="W91" s="253"/>
      <c r="AU91"/>
      <c r="AV91"/>
      <c r="AW91"/>
    </row>
    <row r="92" spans="1:63" ht="14.25" customHeight="1" x14ac:dyDescent="0.25">
      <c r="L92" s="251"/>
      <c r="M92" s="289" t="s">
        <v>20</v>
      </c>
      <c r="N92" s="255"/>
      <c r="O92" s="255"/>
      <c r="P92" s="253"/>
      <c r="Q92" s="253"/>
      <c r="R92" s="253">
        <f>E99</f>
        <v>5</v>
      </c>
      <c r="S92" s="253">
        <f>G99</f>
        <v>5</v>
      </c>
      <c r="T92">
        <f>R92-S92</f>
        <v>0</v>
      </c>
      <c r="U92" s="253"/>
      <c r="V92" s="253"/>
      <c r="W92" s="253"/>
      <c r="X92" s="253"/>
      <c r="AU92"/>
      <c r="AV92"/>
      <c r="AW92"/>
    </row>
    <row r="93" spans="1:63" ht="14.25" customHeight="1" x14ac:dyDescent="0.25">
      <c r="A93" s="665" t="s">
        <v>98</v>
      </c>
      <c r="B93" s="665"/>
      <c r="C93" s="665"/>
      <c r="E93" s="665" t="s">
        <v>90</v>
      </c>
      <c r="F93" s="665"/>
      <c r="G93" s="665"/>
      <c r="L93" s="251"/>
      <c r="M93" s="289" t="s">
        <v>21</v>
      </c>
      <c r="N93" s="290">
        <f>(F91)*10</f>
        <v>0</v>
      </c>
      <c r="O93" s="291">
        <f>(10*N93)/10</f>
        <v>0</v>
      </c>
      <c r="P93" s="253"/>
      <c r="Q93" s="253"/>
      <c r="R93" s="253">
        <f>100/R92</f>
        <v>20</v>
      </c>
      <c r="S93" s="253">
        <f>100</f>
        <v>100</v>
      </c>
      <c r="T93" s="253"/>
      <c r="U93" s="253"/>
      <c r="V93" s="253"/>
      <c r="W93" s="253"/>
      <c r="X93" s="253"/>
      <c r="AU93"/>
      <c r="AV93"/>
      <c r="AW93"/>
    </row>
    <row r="94" spans="1:63" ht="14.25" customHeight="1" x14ac:dyDescent="0.25">
      <c r="A94" s="255" t="s">
        <v>46</v>
      </c>
      <c r="B94" s="255" t="s">
        <v>14</v>
      </c>
      <c r="C94" s="255" t="s">
        <v>13</v>
      </c>
      <c r="E94" s="255" t="s">
        <v>46</v>
      </c>
      <c r="F94" s="255" t="s">
        <v>14</v>
      </c>
      <c r="G94" s="255" t="s">
        <v>13</v>
      </c>
      <c r="L94" s="251"/>
      <c r="M94" s="255"/>
      <c r="N94" s="290">
        <f>(B91)*10</f>
        <v>0</v>
      </c>
      <c r="O94" s="291">
        <f>(10*N94)/10</f>
        <v>0</v>
      </c>
      <c r="P94" s="253"/>
      <c r="Q94" s="253"/>
      <c r="R94" s="253"/>
      <c r="S94" s="253"/>
      <c r="X94" s="253"/>
      <c r="AU94"/>
      <c r="AV94"/>
      <c r="AW94"/>
    </row>
    <row r="95" spans="1:63" ht="14.25" customHeight="1" x14ac:dyDescent="0.25">
      <c r="A95" s="255">
        <v>6</v>
      </c>
      <c r="B95" s="255">
        <v>1</v>
      </c>
      <c r="C95" s="255">
        <f>(A95-B95)</f>
        <v>5</v>
      </c>
      <c r="E95" s="255">
        <v>4</v>
      </c>
      <c r="F95" s="255">
        <v>0</v>
      </c>
      <c r="G95" s="255">
        <f>(E95-F95)</f>
        <v>4</v>
      </c>
      <c r="L95" s="251"/>
      <c r="M95" s="255" t="s">
        <v>64</v>
      </c>
      <c r="N95" s="255"/>
      <c r="O95" s="255"/>
      <c r="X95" s="253"/>
      <c r="AU95"/>
      <c r="AV95"/>
      <c r="AW95"/>
    </row>
    <row r="96" spans="1:63" ht="14.25" customHeight="1" x14ac:dyDescent="0.25">
      <c r="C96" t="s">
        <v>134</v>
      </c>
      <c r="L96" s="251"/>
      <c r="M96" s="289" t="s">
        <v>20</v>
      </c>
      <c r="N96" s="255"/>
      <c r="O96" s="255"/>
      <c r="X96" s="253"/>
      <c r="AU96"/>
      <c r="AV96"/>
      <c r="AW96"/>
    </row>
    <row r="97" spans="1:54" ht="14.25" customHeight="1" x14ac:dyDescent="0.25">
      <c r="A97" s="665" t="s">
        <v>99</v>
      </c>
      <c r="B97" s="665"/>
      <c r="C97" s="665"/>
      <c r="D97" s="255"/>
      <c r="E97" s="665" t="s">
        <v>91</v>
      </c>
      <c r="F97" s="665"/>
      <c r="G97" s="665"/>
      <c r="H97" s="251"/>
      <c r="L97" s="251"/>
      <c r="M97" s="289" t="s">
        <v>21</v>
      </c>
      <c r="N97" s="290">
        <f>(F95)*10</f>
        <v>0</v>
      </c>
      <c r="O97" s="291">
        <f>(10*N97)/10</f>
        <v>0</v>
      </c>
      <c r="AU97"/>
      <c r="AV97"/>
      <c r="AW97"/>
    </row>
    <row r="98" spans="1:54" ht="14.25" customHeight="1" x14ac:dyDescent="0.25">
      <c r="A98" s="255" t="s">
        <v>46</v>
      </c>
      <c r="B98" s="255" t="s">
        <v>14</v>
      </c>
      <c r="C98" s="255" t="s">
        <v>13</v>
      </c>
      <c r="D98" s="315"/>
      <c r="E98" s="255" t="s">
        <v>46</v>
      </c>
      <c r="F98" s="255" t="s">
        <v>14</v>
      </c>
      <c r="G98" s="255" t="s">
        <v>13</v>
      </c>
      <c r="H98" s="255"/>
      <c r="L98" s="251"/>
      <c r="M98" s="255"/>
      <c r="N98" s="290">
        <f>(B95)*10</f>
        <v>10</v>
      </c>
      <c r="O98" s="291">
        <f>(10*N98)/10</f>
        <v>10</v>
      </c>
    </row>
    <row r="99" spans="1:54" ht="14.25" customHeight="1" x14ac:dyDescent="0.25">
      <c r="A99" s="255">
        <v>5</v>
      </c>
      <c r="B99" s="255">
        <v>0</v>
      </c>
      <c r="C99" s="255">
        <f>(A99-B99)</f>
        <v>5</v>
      </c>
      <c r="D99" s="260"/>
      <c r="E99" s="255">
        <v>5</v>
      </c>
      <c r="F99" s="255">
        <v>0</v>
      </c>
      <c r="G99" s="255">
        <f>(E99-F99)</f>
        <v>5</v>
      </c>
      <c r="H99" s="255"/>
      <c r="L99" s="251"/>
      <c r="M99" s="255" t="s">
        <v>65</v>
      </c>
      <c r="N99" s="255"/>
      <c r="O99" s="255"/>
    </row>
    <row r="100" spans="1:54" ht="14.25" customHeight="1" x14ac:dyDescent="0.25">
      <c r="A100" s="251"/>
      <c r="B100" s="251"/>
      <c r="C100" s="251"/>
      <c r="D100" s="261"/>
      <c r="E100" s="251"/>
      <c r="F100" s="251"/>
      <c r="G100" s="251"/>
      <c r="H100" s="255"/>
      <c r="L100" s="251"/>
      <c r="M100" s="289" t="s">
        <v>20</v>
      </c>
      <c r="N100" s="255"/>
      <c r="O100" s="255"/>
      <c r="Z100" s="253"/>
      <c r="AA100" s="253"/>
    </row>
    <row r="101" spans="1:54" ht="14.25" customHeight="1" x14ac:dyDescent="0.25">
      <c r="A101" s="665" t="s">
        <v>170</v>
      </c>
      <c r="B101" s="665"/>
      <c r="C101" s="665"/>
      <c r="D101" s="251"/>
      <c r="E101" s="665" t="s">
        <v>171</v>
      </c>
      <c r="F101" s="665"/>
      <c r="G101" s="665"/>
      <c r="H101" s="251"/>
      <c r="L101" s="251"/>
      <c r="M101" s="289" t="s">
        <v>21</v>
      </c>
      <c r="N101" s="290">
        <f>(F99)*10</f>
        <v>0</v>
      </c>
      <c r="O101" s="291">
        <f>(10*N101)/10</f>
        <v>0</v>
      </c>
      <c r="Y101" s="253"/>
      <c r="Z101" s="253"/>
      <c r="AA101" s="253"/>
    </row>
    <row r="102" spans="1:54" ht="14.25" customHeight="1" x14ac:dyDescent="0.25">
      <c r="A102" s="255" t="s">
        <v>46</v>
      </c>
      <c r="B102" s="255" t="s">
        <v>14</v>
      </c>
      <c r="C102" s="255" t="s">
        <v>13</v>
      </c>
      <c r="D102" s="251"/>
      <c r="E102" s="255" t="s">
        <v>46</v>
      </c>
      <c r="F102" s="255" t="s">
        <v>14</v>
      </c>
      <c r="G102" s="255" t="s">
        <v>13</v>
      </c>
      <c r="H102" s="251"/>
      <c r="L102" s="251"/>
      <c r="M102" s="316"/>
      <c r="N102" s="290">
        <f>(B99)*10</f>
        <v>0</v>
      </c>
      <c r="O102" s="291">
        <f>(10*N102)/10</f>
        <v>0</v>
      </c>
      <c r="Y102" s="253"/>
      <c r="Z102" s="253"/>
      <c r="AA102" s="253"/>
    </row>
    <row r="103" spans="1:54" ht="14.25" customHeight="1" x14ac:dyDescent="0.25">
      <c r="A103" s="255">
        <v>3</v>
      </c>
      <c r="B103" s="255">
        <v>0</v>
      </c>
      <c r="C103" s="255">
        <f>(A103-B103)</f>
        <v>3</v>
      </c>
      <c r="D103" s="251"/>
      <c r="E103" s="255">
        <v>5</v>
      </c>
      <c r="F103" s="255">
        <v>1</v>
      </c>
      <c r="G103" s="255">
        <f>(E103-F103)</f>
        <v>4</v>
      </c>
      <c r="H103" s="251"/>
      <c r="L103" s="253"/>
      <c r="M103" s="255" t="s">
        <v>45</v>
      </c>
      <c r="N103" s="255"/>
      <c r="O103" s="317"/>
      <c r="Y103" s="253"/>
      <c r="Z103" s="253"/>
      <c r="AA103" s="253"/>
    </row>
    <row r="104" spans="1:54" ht="14.25" customHeight="1" x14ac:dyDescent="0.25">
      <c r="A104" s="251"/>
      <c r="B104" s="251"/>
      <c r="C104" s="251"/>
      <c r="D104" s="288"/>
      <c r="E104" s="251"/>
      <c r="F104" s="251"/>
      <c r="G104" s="251"/>
      <c r="H104" s="251"/>
      <c r="I104" s="251"/>
      <c r="J104" s="251"/>
      <c r="K104" s="251"/>
      <c r="L104" s="253"/>
      <c r="M104" s="289" t="s">
        <v>20</v>
      </c>
      <c r="N104" s="255"/>
      <c r="O104" s="255"/>
      <c r="Y104" s="253"/>
      <c r="Z104" s="253"/>
      <c r="AA104" s="253"/>
    </row>
    <row r="105" spans="1:54" ht="14.25" customHeight="1" x14ac:dyDescent="0.25">
      <c r="D105" s="251"/>
      <c r="H105" s="255"/>
      <c r="I105" s="251"/>
      <c r="J105" s="251"/>
      <c r="K105" s="251"/>
      <c r="M105" s="289" t="s">
        <v>21</v>
      </c>
      <c r="N105" s="290">
        <f>(F103)*10</f>
        <v>10</v>
      </c>
      <c r="O105" s="291">
        <f>(10*N105)/10</f>
        <v>10</v>
      </c>
      <c r="Y105" s="253"/>
    </row>
    <row r="106" spans="1:54" ht="14.25" customHeight="1" x14ac:dyDescent="0.25">
      <c r="D106" s="318"/>
      <c r="H106" s="255"/>
      <c r="I106" s="251"/>
      <c r="J106" s="251"/>
      <c r="K106" s="251"/>
      <c r="N106" s="290">
        <f>(B103)*10</f>
        <v>0</v>
      </c>
      <c r="O106" s="291">
        <f>(10*N106)/10</f>
        <v>0</v>
      </c>
    </row>
    <row r="107" spans="1:54" ht="14.25" customHeight="1" x14ac:dyDescent="0.25">
      <c r="D107" s="265"/>
      <c r="H107" s="255"/>
      <c r="I107" s="251"/>
      <c r="J107" s="251"/>
      <c r="K107" s="251"/>
    </row>
    <row r="108" spans="1:54" ht="14.25" customHeight="1" x14ac:dyDescent="0.25">
      <c r="A108" s="251"/>
      <c r="B108" s="251"/>
      <c r="C108" s="251"/>
      <c r="D108" s="288"/>
      <c r="E108" s="251"/>
      <c r="F108" s="251"/>
      <c r="G108" s="251"/>
      <c r="H108" s="251"/>
      <c r="I108" s="251"/>
      <c r="J108" s="251"/>
      <c r="K108" s="251"/>
    </row>
    <row r="109" spans="1:54" ht="14.25" customHeight="1" x14ac:dyDescent="0.25">
      <c r="D109" s="288"/>
      <c r="H109" s="251"/>
      <c r="I109" s="251"/>
      <c r="J109" s="251"/>
      <c r="K109" s="251"/>
      <c r="BB109" s="319"/>
    </row>
    <row r="110" spans="1:54" ht="14.25" customHeight="1" x14ac:dyDescent="0.25">
      <c r="D110" s="288"/>
      <c r="H110" s="251"/>
      <c r="I110" s="251"/>
      <c r="J110" s="251"/>
      <c r="K110" s="251"/>
    </row>
    <row r="111" spans="1:54" ht="14.25" customHeight="1" x14ac:dyDescent="0.25">
      <c r="D111" s="288"/>
      <c r="H111" s="251"/>
      <c r="I111" s="251"/>
      <c r="J111" s="251"/>
      <c r="K111" s="251"/>
      <c r="AU111" s="255"/>
      <c r="AV111" s="255"/>
      <c r="AW111" s="255"/>
    </row>
    <row r="112" spans="1:54" ht="14.25" customHeight="1" x14ac:dyDescent="0.25">
      <c r="A112" s="251"/>
      <c r="B112" s="251"/>
      <c r="C112" s="251"/>
      <c r="D112" s="288"/>
      <c r="E112" s="251"/>
      <c r="F112" s="251"/>
      <c r="G112" s="251"/>
      <c r="H112" s="251"/>
      <c r="I112" s="251"/>
      <c r="J112" s="251"/>
      <c r="K112" s="251"/>
      <c r="AU112" s="255"/>
      <c r="AV112" s="255"/>
      <c r="AW112" s="255"/>
      <c r="AX112" s="255"/>
    </row>
    <row r="113" spans="1:72" ht="14.25" customHeight="1" x14ac:dyDescent="0.25">
      <c r="D113" s="288"/>
      <c r="H113" s="251"/>
      <c r="I113" s="251"/>
      <c r="J113" s="251"/>
      <c r="K113" s="251"/>
      <c r="AM113" s="253"/>
      <c r="AN113" s="253"/>
      <c r="AO113" s="253"/>
      <c r="AP113" s="253"/>
      <c r="AU113" s="255"/>
      <c r="AV113" s="255"/>
      <c r="AW113" s="255"/>
      <c r="AX113" s="255"/>
    </row>
    <row r="114" spans="1:72" ht="14.25" customHeight="1" x14ac:dyDescent="0.25">
      <c r="D114" s="265"/>
      <c r="H114" s="251"/>
      <c r="I114" s="251"/>
      <c r="J114" s="251"/>
      <c r="K114" s="251"/>
      <c r="AM114" s="253"/>
      <c r="AN114" s="253"/>
      <c r="AO114" s="253"/>
      <c r="AP114" s="253"/>
      <c r="AU114" s="255"/>
      <c r="AV114" s="255"/>
      <c r="AW114" s="255"/>
      <c r="AX114" s="255"/>
    </row>
    <row r="115" spans="1:72" ht="14.25" customHeight="1" x14ac:dyDescent="0.25">
      <c r="D115" s="265"/>
      <c r="H115" s="251"/>
      <c r="I115" s="251"/>
      <c r="J115" s="251"/>
      <c r="K115" s="251"/>
      <c r="AM115" s="253"/>
      <c r="AN115" s="253"/>
      <c r="AO115" s="253"/>
      <c r="AP115" s="253"/>
      <c r="AU115" s="255"/>
      <c r="AV115" s="255"/>
      <c r="AW115" s="255"/>
    </row>
    <row r="116" spans="1:72" ht="14.25" customHeight="1" x14ac:dyDescent="0.25">
      <c r="A116" s="255"/>
      <c r="B116" s="255"/>
      <c r="C116" s="255"/>
      <c r="D116" s="288"/>
      <c r="E116" s="255"/>
      <c r="F116" s="255"/>
      <c r="G116" s="255"/>
      <c r="H116" s="251"/>
      <c r="I116" s="251"/>
      <c r="J116" s="251"/>
      <c r="K116" s="251"/>
      <c r="AM116" s="253"/>
      <c r="AN116" s="253"/>
      <c r="AO116" s="253"/>
      <c r="AP116" s="253"/>
    </row>
    <row r="117" spans="1:72" ht="14.25" customHeight="1" x14ac:dyDescent="0.25">
      <c r="D117" s="288"/>
      <c r="H117" s="251"/>
      <c r="I117" s="251"/>
      <c r="J117" s="251"/>
      <c r="K117" s="251"/>
      <c r="AM117" s="253"/>
      <c r="AN117" s="253"/>
      <c r="AO117" s="253"/>
      <c r="AP117" s="253"/>
    </row>
    <row r="118" spans="1:72" ht="14.25" customHeight="1" x14ac:dyDescent="0.25">
      <c r="D118" s="288"/>
      <c r="H118" s="251"/>
      <c r="I118" s="251"/>
      <c r="J118" s="251"/>
      <c r="K118" s="251"/>
      <c r="AJ118" s="253"/>
      <c r="AK118" s="253"/>
      <c r="AL118" s="253"/>
    </row>
    <row r="119" spans="1:72" ht="14.25" customHeight="1" x14ac:dyDescent="0.25">
      <c r="D119" s="288"/>
      <c r="H119" s="251"/>
      <c r="I119" s="251"/>
      <c r="J119" s="251"/>
      <c r="K119" s="251"/>
      <c r="AJ119" s="253"/>
      <c r="AK119" s="253"/>
      <c r="AL119" s="253"/>
    </row>
    <row r="120" spans="1:72" x14ac:dyDescent="0.25">
      <c r="AJ120" s="253"/>
      <c r="AK120" s="253"/>
      <c r="AL120" s="253"/>
    </row>
    <row r="121" spans="1:72" x14ac:dyDescent="0.25">
      <c r="AJ121" s="253"/>
      <c r="AK121" s="253"/>
      <c r="AL121" s="253"/>
      <c r="AQ121" s="253"/>
      <c r="AR121" s="253"/>
    </row>
    <row r="122" spans="1:72" x14ac:dyDescent="0.25">
      <c r="AJ122" s="253"/>
      <c r="AK122" s="253"/>
      <c r="AL122" s="253"/>
      <c r="AQ122" s="253"/>
      <c r="AR122" s="253"/>
    </row>
    <row r="123" spans="1:72" x14ac:dyDescent="0.25">
      <c r="AQ123" s="253"/>
      <c r="AR123" s="253"/>
    </row>
    <row r="124" spans="1:72" x14ac:dyDescent="0.25">
      <c r="AQ124" s="253"/>
      <c r="AR124" s="253"/>
    </row>
    <row r="125" spans="1:72" s="96" customFormat="1" ht="18.75" customHeight="1" x14ac:dyDescent="0.25">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s="253"/>
      <c r="AR125" s="253"/>
      <c r="AS125"/>
      <c r="AT125"/>
      <c r="AU125" s="251"/>
      <c r="AV125" s="251"/>
      <c r="AW125" s="251"/>
      <c r="AX125" s="251"/>
      <c r="AY125" s="251"/>
      <c r="AZ125" s="251"/>
      <c r="BA125" s="251"/>
      <c r="BB125" s="251"/>
      <c r="BC125" s="251"/>
      <c r="BD125" s="251"/>
      <c r="BE125" s="251"/>
      <c r="BF125" s="251"/>
      <c r="BG125" s="255"/>
      <c r="BH125" s="252"/>
      <c r="BI125" s="252"/>
      <c r="BJ125"/>
      <c r="BK125"/>
      <c r="BL125" s="251"/>
      <c r="BM125" s="251"/>
      <c r="BN125" s="251"/>
      <c r="BO125" s="251"/>
      <c r="BP125" s="251"/>
      <c r="BQ125" s="251"/>
      <c r="BR125" s="251"/>
      <c r="BS125" s="251"/>
      <c r="BT125" s="251"/>
    </row>
    <row r="126" spans="1:72" x14ac:dyDescent="0.25">
      <c r="AB126" s="253"/>
      <c r="AC126" s="253"/>
      <c r="AD126" s="253"/>
      <c r="AE126" s="253"/>
      <c r="AF126" s="253"/>
      <c r="AG126" s="253"/>
      <c r="AH126" s="253"/>
      <c r="AI126" s="253"/>
      <c r="AS126" s="253"/>
    </row>
    <row r="127" spans="1:72" s="96" customFormat="1" ht="18.75" customHeight="1" x14ac:dyDescent="0.25">
      <c r="A127"/>
      <c r="B127"/>
      <c r="C127"/>
      <c r="D127"/>
      <c r="E127"/>
      <c r="F127"/>
      <c r="G127"/>
      <c r="H127"/>
      <c r="I127"/>
      <c r="J127"/>
      <c r="K127"/>
      <c r="L127"/>
      <c r="M127"/>
      <c r="N127"/>
      <c r="O127"/>
      <c r="P127"/>
      <c r="Q127"/>
      <c r="R127"/>
      <c r="S127"/>
      <c r="T127"/>
      <c r="U127"/>
      <c r="V127"/>
      <c r="W127"/>
      <c r="X127"/>
      <c r="Y127"/>
      <c r="Z127"/>
      <c r="AA127"/>
      <c r="AB127" s="253"/>
      <c r="AC127" s="253"/>
      <c r="AD127" s="253"/>
      <c r="AE127" s="253"/>
      <c r="AF127" s="253"/>
      <c r="AG127" s="253"/>
      <c r="AH127" s="253"/>
      <c r="AI127" s="253"/>
      <c r="AJ127"/>
      <c r="AK127"/>
      <c r="AL127"/>
      <c r="AM127"/>
      <c r="AN127"/>
      <c r="AO127"/>
      <c r="AP127"/>
      <c r="AQ127"/>
      <c r="AR127"/>
      <c r="AS127" s="253"/>
      <c r="AT127"/>
      <c r="AU127" s="251"/>
      <c r="AV127" s="251"/>
      <c r="AW127" s="251"/>
      <c r="AX127" s="251"/>
      <c r="AY127" s="251"/>
      <c r="AZ127" s="251"/>
      <c r="BA127" s="251"/>
      <c r="BB127" s="251"/>
      <c r="BC127" s="251"/>
      <c r="BD127" s="251"/>
      <c r="BE127" s="251"/>
      <c r="BF127" s="251"/>
      <c r="BG127" s="255"/>
      <c r="BH127" s="252"/>
      <c r="BI127" s="252"/>
      <c r="BJ127"/>
      <c r="BK127"/>
      <c r="BL127" s="251"/>
      <c r="BM127" s="251"/>
      <c r="BN127" s="251"/>
      <c r="BO127" s="251"/>
      <c r="BP127" s="251"/>
      <c r="BQ127" s="251"/>
      <c r="BR127" s="251"/>
      <c r="BS127" s="251"/>
      <c r="BT127" s="251"/>
    </row>
    <row r="128" spans="1:72" s="96" customFormat="1" ht="14.25" customHeight="1" x14ac:dyDescent="0.25">
      <c r="A128"/>
      <c r="B128"/>
      <c r="C128"/>
      <c r="D128"/>
      <c r="E128"/>
      <c r="F128"/>
      <c r="G128"/>
      <c r="H128"/>
      <c r="I128"/>
      <c r="J128"/>
      <c r="K128"/>
      <c r="L128"/>
      <c r="M128"/>
      <c r="N128"/>
      <c r="O128"/>
      <c r="P128"/>
      <c r="Q128"/>
      <c r="R128"/>
      <c r="S128"/>
      <c r="T128"/>
      <c r="U128"/>
      <c r="V128"/>
      <c r="W128"/>
      <c r="X128"/>
      <c r="Y128"/>
      <c r="Z128"/>
      <c r="AA128"/>
      <c r="AB128" s="253"/>
      <c r="AC128" s="253"/>
      <c r="AD128" s="253"/>
      <c r="AE128" s="253"/>
      <c r="AF128" s="253"/>
      <c r="AG128" s="253"/>
      <c r="AH128" s="253"/>
      <c r="AI128" s="253"/>
      <c r="AJ128"/>
      <c r="AK128"/>
      <c r="AL128"/>
      <c r="AM128"/>
      <c r="AN128"/>
      <c r="AO128"/>
      <c r="AP128"/>
      <c r="AQ128"/>
      <c r="AR128"/>
      <c r="AS128" s="253"/>
      <c r="AT128"/>
      <c r="AU128" s="251"/>
      <c r="AV128" s="251"/>
      <c r="AW128" s="251"/>
      <c r="AX128" s="251"/>
      <c r="AY128" s="251"/>
      <c r="AZ128" s="251"/>
      <c r="BA128" s="251"/>
      <c r="BB128" s="251"/>
      <c r="BC128" s="251"/>
      <c r="BD128" s="251"/>
      <c r="BE128" s="251"/>
      <c r="BF128" s="251"/>
      <c r="BG128" s="255"/>
      <c r="BH128" s="252"/>
      <c r="BI128" s="252"/>
      <c r="BJ128"/>
      <c r="BK128"/>
      <c r="BL128" s="251"/>
      <c r="BM128" s="251"/>
      <c r="BN128" s="251"/>
      <c r="BO128" s="251"/>
      <c r="BP128" s="251"/>
      <c r="BQ128" s="251"/>
      <c r="BR128" s="251"/>
      <c r="BS128" s="251"/>
      <c r="BT128" s="251"/>
    </row>
    <row r="129" spans="1:72" s="96" customFormat="1" x14ac:dyDescent="0.25">
      <c r="A129"/>
      <c r="B129"/>
      <c r="C129"/>
      <c r="D129"/>
      <c r="E129"/>
      <c r="F129"/>
      <c r="G129"/>
      <c r="H129"/>
      <c r="I129"/>
      <c r="J129"/>
      <c r="K129"/>
      <c r="L129"/>
      <c r="M129"/>
      <c r="N129"/>
      <c r="O129"/>
      <c r="P129"/>
      <c r="Q129"/>
      <c r="R129"/>
      <c r="S129"/>
      <c r="T129"/>
      <c r="U129"/>
      <c r="V129"/>
      <c r="W129"/>
      <c r="X129"/>
      <c r="Y129"/>
      <c r="Z129"/>
      <c r="AA129"/>
      <c r="AB129" s="253"/>
      <c r="AC129" s="253"/>
      <c r="AD129" s="253"/>
      <c r="AE129" s="253"/>
      <c r="AF129" s="253"/>
      <c r="AG129" s="253"/>
      <c r="AH129" s="253"/>
      <c r="AI129" s="253"/>
      <c r="AJ129"/>
      <c r="AK129"/>
      <c r="AL129"/>
      <c r="AM129"/>
      <c r="AN129"/>
      <c r="AO129"/>
      <c r="AP129"/>
      <c r="AQ129"/>
      <c r="AR129"/>
      <c r="AS129" s="253"/>
      <c r="AT129" s="253"/>
      <c r="AU129" s="251"/>
      <c r="AV129" s="251"/>
      <c r="AW129" s="251"/>
      <c r="AX129" s="251"/>
      <c r="AY129" s="251"/>
      <c r="AZ129" s="251"/>
      <c r="BA129" s="251"/>
      <c r="BB129" s="251"/>
      <c r="BC129" s="251"/>
      <c r="BD129" s="251"/>
      <c r="BE129" s="251"/>
      <c r="BF129" s="251"/>
      <c r="BG129" s="255"/>
      <c r="BH129" s="252"/>
      <c r="BI129" s="252"/>
      <c r="BJ129"/>
      <c r="BK129"/>
      <c r="BL129" s="251"/>
      <c r="BM129" s="251"/>
      <c r="BN129" s="251"/>
      <c r="BO129" s="251"/>
      <c r="BP129" s="251"/>
      <c r="BQ129" s="251"/>
      <c r="BR129" s="251"/>
      <c r="BS129" s="251"/>
      <c r="BT129" s="251"/>
    </row>
    <row r="130" spans="1:72" s="96" customFormat="1" x14ac:dyDescent="0.25">
      <c r="A130"/>
      <c r="B130"/>
      <c r="C130"/>
      <c r="D130"/>
      <c r="E130"/>
      <c r="F130"/>
      <c r="G130"/>
      <c r="H130"/>
      <c r="I130"/>
      <c r="J130"/>
      <c r="K130"/>
      <c r="L130"/>
      <c r="M130"/>
      <c r="N130"/>
      <c r="O130"/>
      <c r="P130"/>
      <c r="Q130"/>
      <c r="R130"/>
      <c r="S130"/>
      <c r="T130"/>
      <c r="U130"/>
      <c r="V130"/>
      <c r="W130"/>
      <c r="X130"/>
      <c r="Y130"/>
      <c r="Z130"/>
      <c r="AA130"/>
      <c r="AB130" s="253"/>
      <c r="AC130" s="253"/>
      <c r="AD130" s="253"/>
      <c r="AE130" s="253"/>
      <c r="AF130" s="253"/>
      <c r="AG130" s="253"/>
      <c r="AH130" s="253"/>
      <c r="AI130" s="253"/>
      <c r="AJ130"/>
      <c r="AK130"/>
      <c r="AL130"/>
      <c r="AM130"/>
      <c r="AN130"/>
      <c r="AO130"/>
      <c r="AP130"/>
      <c r="AQ130"/>
      <c r="AR130"/>
      <c r="AS130" s="253"/>
      <c r="AT130" s="253"/>
      <c r="AU130" s="251"/>
      <c r="AV130" s="251"/>
      <c r="AW130" s="251"/>
      <c r="AX130" s="251"/>
      <c r="AY130" s="251"/>
      <c r="AZ130" s="251"/>
      <c r="BA130" s="251"/>
      <c r="BB130" s="251"/>
      <c r="BC130" s="251"/>
      <c r="BD130" s="251"/>
      <c r="BE130" s="251"/>
      <c r="BF130" s="251"/>
      <c r="BG130" s="255"/>
      <c r="BH130" s="252"/>
      <c r="BI130" s="252"/>
      <c r="BJ130"/>
      <c r="BK130"/>
      <c r="BL130" s="251"/>
      <c r="BM130" s="251"/>
      <c r="BN130" s="251"/>
      <c r="BO130" s="251"/>
      <c r="BP130" s="251"/>
      <c r="BQ130" s="251"/>
      <c r="BR130" s="251"/>
      <c r="BS130" s="251"/>
      <c r="BT130" s="251"/>
    </row>
    <row r="131" spans="1:72" s="96" customFormat="1" ht="14.25" customHeight="1" x14ac:dyDescent="0.25">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s="253"/>
      <c r="AU131" s="251"/>
      <c r="AV131" s="251"/>
      <c r="AW131" s="251"/>
      <c r="AX131" s="251"/>
      <c r="AY131" s="251"/>
      <c r="AZ131" s="251"/>
      <c r="BA131" s="251"/>
      <c r="BB131" s="251"/>
      <c r="BC131" s="251"/>
      <c r="BD131" s="251"/>
      <c r="BE131" s="251"/>
      <c r="BF131" s="251"/>
      <c r="BG131" s="255"/>
      <c r="BH131" s="252"/>
      <c r="BI131" s="252"/>
      <c r="BJ131"/>
      <c r="BK131"/>
      <c r="BL131" s="251"/>
      <c r="BM131" s="251"/>
      <c r="BN131" s="251"/>
      <c r="BO131" s="251"/>
      <c r="BP131" s="251"/>
      <c r="BQ131" s="251"/>
      <c r="BR131" s="251"/>
      <c r="BS131" s="251"/>
      <c r="BT131" s="251"/>
    </row>
    <row r="132" spans="1:72" s="96" customFormat="1" x14ac:dyDescent="0.25">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s="253"/>
      <c r="AU132" s="251"/>
      <c r="AV132" s="251"/>
      <c r="AW132" s="251"/>
      <c r="AX132" s="251"/>
      <c r="AY132" s="251"/>
      <c r="AZ132" s="251"/>
      <c r="BA132" s="251"/>
      <c r="BB132" s="251"/>
      <c r="BC132" s="251"/>
      <c r="BD132" s="251"/>
      <c r="BE132" s="251"/>
      <c r="BF132" s="251"/>
      <c r="BG132" s="255"/>
      <c r="BH132" s="252"/>
      <c r="BI132" s="252"/>
      <c r="BJ132"/>
      <c r="BK132"/>
      <c r="BL132" s="251"/>
      <c r="BM132" s="251"/>
      <c r="BN132" s="251"/>
      <c r="BO132" s="251"/>
      <c r="BP132" s="251"/>
      <c r="BQ132" s="251"/>
      <c r="BR132" s="251"/>
      <c r="BS132" s="251"/>
      <c r="BT132" s="251"/>
    </row>
    <row r="133" spans="1:72" s="96" customFormat="1" x14ac:dyDescent="0.25">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s="253"/>
      <c r="AU133" s="251"/>
      <c r="AV133" s="251"/>
      <c r="AW133" s="251"/>
      <c r="AX133" s="251"/>
      <c r="AY133" s="251"/>
      <c r="AZ133" s="251"/>
      <c r="BA133" s="251"/>
      <c r="BB133" s="251"/>
      <c r="BC133" s="251"/>
      <c r="BD133" s="251"/>
      <c r="BE133" s="251"/>
      <c r="BF133" s="251"/>
      <c r="BG133" s="255"/>
      <c r="BH133" s="252"/>
      <c r="BI133" s="252"/>
      <c r="BJ133"/>
      <c r="BK133"/>
      <c r="BL133" s="251"/>
      <c r="BM133" s="251"/>
      <c r="BN133" s="251"/>
      <c r="BO133" s="251"/>
      <c r="BP133" s="251"/>
      <c r="BQ133" s="251"/>
      <c r="BR133" s="251"/>
      <c r="BS133" s="251"/>
      <c r="BT133" s="251"/>
    </row>
    <row r="134" spans="1:72" s="96" customFormat="1" ht="15" customHeight="1" x14ac:dyDescent="0.25">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s="251"/>
      <c r="AV134" s="251"/>
      <c r="AW134" s="251"/>
      <c r="AX134" s="251"/>
      <c r="AY134" s="251"/>
      <c r="AZ134" s="251"/>
      <c r="BA134" s="251"/>
      <c r="BB134" s="251"/>
      <c r="BC134" s="251"/>
      <c r="BD134" s="251"/>
      <c r="BE134" s="251"/>
      <c r="BF134" s="251"/>
      <c r="BG134" s="255"/>
      <c r="BH134" s="252"/>
      <c r="BI134" s="252"/>
      <c r="BJ134"/>
      <c r="BK134"/>
      <c r="BL134" s="251"/>
      <c r="BM134" s="251"/>
      <c r="BN134" s="251"/>
      <c r="BO134" s="251"/>
      <c r="BP134" s="251"/>
      <c r="BQ134" s="251"/>
      <c r="BR134" s="251"/>
      <c r="BS134" s="251"/>
      <c r="BT134" s="251"/>
    </row>
    <row r="136" spans="1:72" s="96" customFormat="1" ht="15" customHeight="1" x14ac:dyDescent="0.25">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s="251"/>
      <c r="AV136" s="251"/>
      <c r="AW136" s="251"/>
      <c r="AX136" s="251"/>
      <c r="AY136" s="251"/>
      <c r="AZ136" s="251"/>
      <c r="BA136" s="251"/>
      <c r="BB136" s="251"/>
      <c r="BC136" s="251"/>
      <c r="BD136" s="251"/>
      <c r="BE136" s="251"/>
      <c r="BF136" s="251"/>
      <c r="BG136" s="255"/>
      <c r="BH136" s="252"/>
      <c r="BI136" s="252"/>
      <c r="BJ136"/>
      <c r="BK136"/>
      <c r="BL136" s="251"/>
      <c r="BM136" s="251"/>
      <c r="BN136" s="251"/>
      <c r="BO136" s="251"/>
      <c r="BP136" s="251"/>
      <c r="BQ136" s="251"/>
      <c r="BR136" s="251"/>
      <c r="BS136" s="251"/>
      <c r="BT136" s="251"/>
    </row>
    <row r="137" spans="1:72" s="96" customFormat="1" ht="15" customHeight="1" x14ac:dyDescent="0.25">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s="251"/>
      <c r="AV137" s="251"/>
      <c r="AW137" s="251"/>
      <c r="AX137" s="251"/>
      <c r="AY137" s="251"/>
      <c r="AZ137" s="251"/>
      <c r="BA137" s="251"/>
      <c r="BB137" s="251"/>
      <c r="BC137" s="251"/>
      <c r="BD137" s="251"/>
      <c r="BE137" s="251"/>
      <c r="BF137" s="251"/>
      <c r="BG137" s="255"/>
      <c r="BH137" s="252"/>
      <c r="BI137" s="252"/>
      <c r="BJ137"/>
      <c r="BK137"/>
      <c r="BL137" s="251"/>
      <c r="BM137" s="251"/>
      <c r="BN137" s="251"/>
      <c r="BO137" s="251"/>
      <c r="BP137" s="251"/>
      <c r="BQ137" s="251"/>
      <c r="BR137" s="251"/>
      <c r="BS137" s="251"/>
      <c r="BT137" s="251"/>
    </row>
  </sheetData>
  <mergeCells count="189">
    <mergeCell ref="AO1:AR2"/>
    <mergeCell ref="N43:V43"/>
    <mergeCell ref="AD5:AD6"/>
    <mergeCell ref="M1:N2"/>
    <mergeCell ref="Z4:AB4"/>
    <mergeCell ref="AG30:AL30"/>
    <mergeCell ref="AM36:AR36"/>
    <mergeCell ref="N35:V35"/>
    <mergeCell ref="N58:O58"/>
    <mergeCell ref="N56:V56"/>
    <mergeCell ref="N50:O50"/>
    <mergeCell ref="N51:V51"/>
    <mergeCell ref="N55:O55"/>
    <mergeCell ref="N57:O57"/>
    <mergeCell ref="N61:O61"/>
    <mergeCell ref="N62:O62"/>
    <mergeCell ref="N42:O42"/>
    <mergeCell ref="Z14:AH18"/>
    <mergeCell ref="N47:O47"/>
    <mergeCell ref="Y1:Z2"/>
    <mergeCell ref="AL1:AN2"/>
    <mergeCell ref="N59:O59"/>
    <mergeCell ref="N39:O39"/>
    <mergeCell ref="N54:O54"/>
    <mergeCell ref="N44:O44"/>
    <mergeCell ref="N45:O45"/>
    <mergeCell ref="N46:O46"/>
    <mergeCell ref="N48:O48"/>
    <mergeCell ref="N49:O49"/>
    <mergeCell ref="N36:O36"/>
    <mergeCell ref="N52:O52"/>
    <mergeCell ref="N53:O53"/>
    <mergeCell ref="N40:O40"/>
    <mergeCell ref="N41:O41"/>
    <mergeCell ref="J24:K24"/>
    <mergeCell ref="J2:K2"/>
    <mergeCell ref="O2:Q3"/>
    <mergeCell ref="R2:T3"/>
    <mergeCell ref="J33:K33"/>
    <mergeCell ref="M27:N28"/>
    <mergeCell ref="P33:T34"/>
    <mergeCell ref="N37:O37"/>
    <mergeCell ref="N38:O38"/>
    <mergeCell ref="J25:K25"/>
    <mergeCell ref="J28:K28"/>
    <mergeCell ref="J36:K36"/>
    <mergeCell ref="J34:K34"/>
    <mergeCell ref="J35:K35"/>
    <mergeCell ref="BJ1:BK1"/>
    <mergeCell ref="O28:Q29"/>
    <mergeCell ref="R28:T29"/>
    <mergeCell ref="F22:G22"/>
    <mergeCell ref="F23:G23"/>
    <mergeCell ref="F16:G16"/>
    <mergeCell ref="F30:G30"/>
    <mergeCell ref="J30:K30"/>
    <mergeCell ref="F31:G31"/>
    <mergeCell ref="J29:K29"/>
    <mergeCell ref="M6:W6"/>
    <mergeCell ref="M7:W7"/>
    <mergeCell ref="M8:W8"/>
    <mergeCell ref="D3:G5"/>
    <mergeCell ref="J4:K4"/>
    <mergeCell ref="N31:Q32"/>
    <mergeCell ref="AD4:AH4"/>
    <mergeCell ref="Z11:AB11"/>
    <mergeCell ref="Z12:AB12"/>
    <mergeCell ref="M5:W5"/>
    <mergeCell ref="AL4:AN5"/>
    <mergeCell ref="AO4:AR5"/>
    <mergeCell ref="J5:K5"/>
    <mergeCell ref="BB1:BF2"/>
    <mergeCell ref="F15:G15"/>
    <mergeCell ref="C6:H6"/>
    <mergeCell ref="J6:K6"/>
    <mergeCell ref="J7:K8"/>
    <mergeCell ref="C8:H9"/>
    <mergeCell ref="J9:K9"/>
    <mergeCell ref="B36:B37"/>
    <mergeCell ref="D18:D19"/>
    <mergeCell ref="E18:E19"/>
    <mergeCell ref="F26:G26"/>
    <mergeCell ref="J26:K26"/>
    <mergeCell ref="F20:G20"/>
    <mergeCell ref="F18:G18"/>
    <mergeCell ref="E22:E23"/>
    <mergeCell ref="D26:D27"/>
    <mergeCell ref="E26:E27"/>
    <mergeCell ref="F24:G24"/>
    <mergeCell ref="F25:G25"/>
    <mergeCell ref="E28:E29"/>
    <mergeCell ref="B26:B27"/>
    <mergeCell ref="J10:K10"/>
    <mergeCell ref="J31:K31"/>
    <mergeCell ref="J32:K32"/>
    <mergeCell ref="E24:E25"/>
    <mergeCell ref="I85:K85"/>
    <mergeCell ref="I89:K89"/>
    <mergeCell ref="A34:A35"/>
    <mergeCell ref="B34:B35"/>
    <mergeCell ref="C34:C35"/>
    <mergeCell ref="A40:D40"/>
    <mergeCell ref="A65:C65"/>
    <mergeCell ref="E65:G65"/>
    <mergeCell ref="F19:G19"/>
    <mergeCell ref="J27:K27"/>
    <mergeCell ref="F27:G27"/>
    <mergeCell ref="C36:C37"/>
    <mergeCell ref="D36:D37"/>
    <mergeCell ref="D34:D35"/>
    <mergeCell ref="D28:D29"/>
    <mergeCell ref="A36:A37"/>
    <mergeCell ref="B24:B25"/>
    <mergeCell ref="A61:C61"/>
    <mergeCell ref="A24:A25"/>
    <mergeCell ref="A28:A29"/>
    <mergeCell ref="B28:B29"/>
    <mergeCell ref="C28:C29"/>
    <mergeCell ref="A30:A31"/>
    <mergeCell ref="C24:C25"/>
    <mergeCell ref="I69:K69"/>
    <mergeCell ref="I81:K81"/>
    <mergeCell ref="A69:C69"/>
    <mergeCell ref="E69:G69"/>
    <mergeCell ref="A73:C73"/>
    <mergeCell ref="E73:G73"/>
    <mergeCell ref="A77:C77"/>
    <mergeCell ref="E77:G77"/>
    <mergeCell ref="I73:K73"/>
    <mergeCell ref="I77:K77"/>
    <mergeCell ref="A101:C101"/>
    <mergeCell ref="E101:G101"/>
    <mergeCell ref="A97:C97"/>
    <mergeCell ref="E97:G97"/>
    <mergeCell ref="A81:C81"/>
    <mergeCell ref="E81:G81"/>
    <mergeCell ref="A85:C85"/>
    <mergeCell ref="E85:G85"/>
    <mergeCell ref="A89:C89"/>
    <mergeCell ref="E89:G89"/>
    <mergeCell ref="A93:C93"/>
    <mergeCell ref="E93:G93"/>
    <mergeCell ref="F36:G36"/>
    <mergeCell ref="E34:E35"/>
    <mergeCell ref="I65:K65"/>
    <mergeCell ref="F33:G33"/>
    <mergeCell ref="E36:E37"/>
    <mergeCell ref="F37:G37"/>
    <mergeCell ref="J37:K37"/>
    <mergeCell ref="E61:G61"/>
    <mergeCell ref="A11:B12"/>
    <mergeCell ref="C12:E13"/>
    <mergeCell ref="A22:A23"/>
    <mergeCell ref="B22:B23"/>
    <mergeCell ref="C22:C23"/>
    <mergeCell ref="D22:D23"/>
    <mergeCell ref="E20:E21"/>
    <mergeCell ref="A32:A33"/>
    <mergeCell ref="B32:B33"/>
    <mergeCell ref="C32:C33"/>
    <mergeCell ref="E30:E31"/>
    <mergeCell ref="F12:H13"/>
    <mergeCell ref="F34:G34"/>
    <mergeCell ref="F35:G35"/>
    <mergeCell ref="D24:D25"/>
    <mergeCell ref="B30:B31"/>
    <mergeCell ref="A16:A17"/>
    <mergeCell ref="B16:B17"/>
    <mergeCell ref="C16:C17"/>
    <mergeCell ref="D16:D17"/>
    <mergeCell ref="A18:A19"/>
    <mergeCell ref="B18:B19"/>
    <mergeCell ref="A26:A27"/>
    <mergeCell ref="F17:G17"/>
    <mergeCell ref="F21:G21"/>
    <mergeCell ref="E16:E17"/>
    <mergeCell ref="C18:C19"/>
    <mergeCell ref="F28:G28"/>
    <mergeCell ref="D32:D33"/>
    <mergeCell ref="A20:A21"/>
    <mergeCell ref="C30:C31"/>
    <mergeCell ref="D30:D31"/>
    <mergeCell ref="C26:C27"/>
    <mergeCell ref="D20:D21"/>
    <mergeCell ref="F29:G29"/>
    <mergeCell ref="C20:C21"/>
    <mergeCell ref="B20:B21"/>
    <mergeCell ref="E32:E33"/>
    <mergeCell ref="F32:G32"/>
  </mergeCells>
  <pageMargins left="0.19685039370078741" right="0" top="0" bottom="0" header="0" footer="0"/>
  <pageSetup scale="12" fitToHeight="0" orientation="portrait" horizontalDpi="4294967293"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38A2E-366B-4CA2-BCE0-5BDCAC84E3D5}">
  <dimension ref="A1:N109"/>
  <sheetViews>
    <sheetView topLeftCell="A6" zoomScaleNormal="100" workbookViewId="0">
      <selection sqref="A1:H37"/>
    </sheetView>
  </sheetViews>
  <sheetFormatPr baseColWidth="10" defaultRowHeight="10.5" x14ac:dyDescent="0.25"/>
  <cols>
    <col min="1" max="2" width="12.140625" style="120" customWidth="1"/>
    <col min="3" max="3" width="11.85546875" style="120" customWidth="1"/>
    <col min="4" max="4" width="13.85546875" style="120" bestFit="1" customWidth="1"/>
    <col min="5" max="5" width="7.7109375" style="120" bestFit="1" customWidth="1"/>
    <col min="6" max="6" width="14.7109375" style="120" customWidth="1"/>
    <col min="7" max="7" width="14" style="120" customWidth="1"/>
    <col min="8" max="8" width="11.85546875" style="120" customWidth="1"/>
    <col min="9" max="11" width="11.42578125" style="120"/>
    <col min="12" max="12" width="2.140625" style="120" customWidth="1"/>
    <col min="13" max="16384" width="11.42578125" style="120"/>
  </cols>
  <sheetData>
    <row r="1" spans="1:14" ht="14.25" customHeight="1" x14ac:dyDescent="0.25">
      <c r="A1" s="417"/>
      <c r="B1" s="417"/>
      <c r="C1" s="417"/>
      <c r="D1" s="417"/>
      <c r="E1" s="417"/>
      <c r="F1" s="417"/>
      <c r="G1"/>
      <c r="H1"/>
      <c r="I1" s="758" t="s">
        <v>4</v>
      </c>
      <c r="J1" s="758"/>
      <c r="K1" s="758"/>
      <c r="L1" s="5"/>
      <c r="M1" s="757" t="s">
        <v>20</v>
      </c>
      <c r="N1" s="757"/>
    </row>
    <row r="2" spans="1:14" ht="14.25" customHeight="1" x14ac:dyDescent="0.2">
      <c r="A2" s="417"/>
      <c r="B2" s="417"/>
      <c r="C2" s="417"/>
      <c r="D2" s="417"/>
      <c r="E2" s="417"/>
      <c r="F2" s="417"/>
      <c r="G2" s="551" t="s">
        <v>389</v>
      </c>
      <c r="H2" s="551"/>
      <c r="I2" s="121" t="s">
        <v>46</v>
      </c>
      <c r="J2" s="121" t="s">
        <v>14</v>
      </c>
      <c r="K2" s="121" t="s">
        <v>13</v>
      </c>
      <c r="L2" s="5"/>
      <c r="M2" s="122" t="s">
        <v>13</v>
      </c>
      <c r="N2" s="122" t="s">
        <v>205</v>
      </c>
    </row>
    <row r="3" spans="1:14" ht="14.25" customHeight="1" x14ac:dyDescent="0.2">
      <c r="A3" s="417"/>
      <c r="B3" s="417"/>
      <c r="C3" s="417"/>
      <c r="D3" s="417"/>
      <c r="E3" s="417"/>
      <c r="F3" s="417"/>
      <c r="G3" s="200"/>
      <c r="H3" s="418"/>
      <c r="I3" s="121">
        <v>67</v>
      </c>
      <c r="J3" s="121">
        <v>0</v>
      </c>
      <c r="K3" s="121">
        <f>(I3-J3)</f>
        <v>67</v>
      </c>
      <c r="L3" s="5"/>
      <c r="M3" s="122">
        <f>(K3)</f>
        <v>67</v>
      </c>
      <c r="N3" s="161">
        <f>M3/I3</f>
        <v>1</v>
      </c>
    </row>
    <row r="4" spans="1:14" ht="15" customHeight="1" x14ac:dyDescent="0.2">
      <c r="A4" s="417"/>
      <c r="B4" s="419"/>
      <c r="C4" s="558" t="s">
        <v>25</v>
      </c>
      <c r="D4" s="558"/>
      <c r="E4" s="558"/>
      <c r="F4" s="558"/>
      <c r="G4" s="559" t="s">
        <v>0</v>
      </c>
      <c r="H4" s="559"/>
      <c r="I4" s="5"/>
      <c r="J4" s="5"/>
      <c r="K4" s="5"/>
      <c r="L4" s="5"/>
      <c r="M4" s="121"/>
      <c r="N4" s="121"/>
    </row>
    <row r="5" spans="1:14" ht="15" customHeight="1" x14ac:dyDescent="0.2">
      <c r="A5" s="417"/>
      <c r="B5" s="201"/>
      <c r="C5" s="558"/>
      <c r="D5" s="558"/>
      <c r="E5" s="558"/>
      <c r="F5" s="558"/>
      <c r="G5" s="454" t="s">
        <v>367</v>
      </c>
      <c r="H5" s="454"/>
      <c r="I5" s="758" t="s">
        <v>3</v>
      </c>
      <c r="J5" s="758"/>
      <c r="K5" s="758"/>
      <c r="L5" s="5"/>
      <c r="M5" s="757" t="s">
        <v>21</v>
      </c>
      <c r="N5" s="757"/>
    </row>
    <row r="6" spans="1:14" ht="15" customHeight="1" x14ac:dyDescent="0.3">
      <c r="A6" s="417"/>
      <c r="B6" s="417"/>
      <c r="C6" s="738" t="s">
        <v>206</v>
      </c>
      <c r="D6" s="738"/>
      <c r="E6" s="738"/>
      <c r="F6" s="738"/>
      <c r="G6" s="571" t="s">
        <v>31</v>
      </c>
      <c r="H6" s="571"/>
      <c r="I6" s="121" t="s">
        <v>46</v>
      </c>
      <c r="J6" s="121" t="s">
        <v>14</v>
      </c>
      <c r="K6" s="121" t="s">
        <v>13</v>
      </c>
      <c r="L6" s="5"/>
      <c r="M6" s="122" t="s">
        <v>13</v>
      </c>
      <c r="N6" s="122" t="s">
        <v>205</v>
      </c>
    </row>
    <row r="7" spans="1:14" ht="14.25" customHeight="1" x14ac:dyDescent="0.2">
      <c r="A7" s="417"/>
      <c r="B7" s="417"/>
      <c r="C7" s="417"/>
      <c r="D7" s="417"/>
      <c r="E7" s="417"/>
      <c r="F7" s="417"/>
      <c r="G7" s="759">
        <f>(D13+D25+D27+D29+D32+D31)/6</f>
        <v>85.833333333333329</v>
      </c>
      <c r="H7" s="759"/>
      <c r="I7" s="121">
        <v>79</v>
      </c>
      <c r="J7" s="121">
        <v>0</v>
      </c>
      <c r="K7" s="121">
        <f>(I7-J7)</f>
        <v>79</v>
      </c>
      <c r="L7" s="5"/>
      <c r="M7" s="122">
        <f>(K7)</f>
        <v>79</v>
      </c>
      <c r="N7" s="161">
        <f>M7/I7</f>
        <v>1</v>
      </c>
    </row>
    <row r="8" spans="1:14" ht="14.25" customHeight="1" x14ac:dyDescent="0.2">
      <c r="A8" s="417"/>
      <c r="B8" s="417"/>
      <c r="C8" s="573" t="s">
        <v>30</v>
      </c>
      <c r="D8" s="573"/>
      <c r="E8" s="573"/>
      <c r="F8" s="573"/>
      <c r="G8" s="759"/>
      <c r="H8" s="759"/>
      <c r="I8" s="5"/>
      <c r="J8" s="5"/>
      <c r="K8" s="5"/>
      <c r="L8" s="5"/>
      <c r="M8" s="5"/>
      <c r="N8" s="5"/>
    </row>
    <row r="9" spans="1:14" ht="14.25" customHeight="1" x14ac:dyDescent="0.25">
      <c r="A9" s="417"/>
      <c r="B9" s="417"/>
      <c r="C9" s="573"/>
      <c r="D9" s="573"/>
      <c r="E9" s="573"/>
      <c r="F9" s="573"/>
      <c r="G9" s="574" t="s">
        <v>108</v>
      </c>
      <c r="H9" s="574"/>
      <c r="I9" s="758" t="s">
        <v>207</v>
      </c>
      <c r="J9" s="758"/>
      <c r="K9" s="758"/>
      <c r="L9" s="5"/>
      <c r="M9" s="757" t="s">
        <v>21</v>
      </c>
      <c r="N9" s="757"/>
    </row>
    <row r="10" spans="1:14" ht="13.5" customHeight="1" x14ac:dyDescent="0.2">
      <c r="A10" s="417"/>
      <c r="B10" s="417"/>
      <c r="C10" s="417"/>
      <c r="D10" s="420"/>
      <c r="E10" s="420"/>
      <c r="F10" s="417"/>
      <c r="G10" s="560">
        <v>85.33</v>
      </c>
      <c r="H10" s="561"/>
      <c r="I10" s="121" t="s">
        <v>46</v>
      </c>
      <c r="J10" s="121" t="s">
        <v>14</v>
      </c>
      <c r="K10" s="121" t="s">
        <v>13</v>
      </c>
      <c r="L10" s="5"/>
      <c r="M10" s="122" t="s">
        <v>13</v>
      </c>
      <c r="N10" s="122" t="s">
        <v>205</v>
      </c>
    </row>
    <row r="11" spans="1:14" ht="15" customHeight="1" x14ac:dyDescent="0.2">
      <c r="A11" s="417"/>
      <c r="B11" s="417"/>
      <c r="C11" s="417"/>
      <c r="D11" s="417"/>
      <c r="E11" s="417"/>
      <c r="F11" s="417"/>
      <c r="G11" s="421"/>
      <c r="H11" s="422"/>
      <c r="I11" s="121">
        <v>53</v>
      </c>
      <c r="J11" s="121">
        <v>0</v>
      </c>
      <c r="K11" s="121">
        <f>(I11-J11)</f>
        <v>53</v>
      </c>
      <c r="L11" s="5"/>
      <c r="M11" s="122">
        <f>(K11)</f>
        <v>53</v>
      </c>
      <c r="N11" s="161">
        <f>M11/I11</f>
        <v>1</v>
      </c>
    </row>
    <row r="12" spans="1:14" s="123" customFormat="1" ht="18" customHeight="1" x14ac:dyDescent="0.25">
      <c r="A12" s="423"/>
      <c r="B12" s="423"/>
      <c r="C12" s="424" t="s">
        <v>1</v>
      </c>
      <c r="D12" s="425" t="s">
        <v>258</v>
      </c>
      <c r="E12" s="734" t="s">
        <v>208</v>
      </c>
      <c r="F12" s="735"/>
      <c r="G12" s="423"/>
      <c r="H12" s="426"/>
      <c r="L12" s="124"/>
      <c r="M12" s="124"/>
      <c r="N12" s="124"/>
    </row>
    <row r="13" spans="1:14" s="123" customFormat="1" ht="12.75" customHeight="1" x14ac:dyDescent="0.25">
      <c r="A13" s="423"/>
      <c r="B13" s="423"/>
      <c r="C13" s="739" t="s">
        <v>3</v>
      </c>
      <c r="D13" s="752">
        <f>100-15</f>
        <v>85</v>
      </c>
      <c r="E13" s="755"/>
      <c r="F13" s="756"/>
      <c r="G13" s="423"/>
      <c r="H13" s="427"/>
      <c r="L13" s="124"/>
      <c r="M13" s="124"/>
      <c r="N13" s="124"/>
    </row>
    <row r="14" spans="1:14" ht="14.25" x14ac:dyDescent="0.2">
      <c r="A14" s="419"/>
      <c r="B14" s="419"/>
      <c r="C14" s="740"/>
      <c r="D14" s="753"/>
      <c r="E14" s="736"/>
      <c r="F14" s="737"/>
      <c r="G14" s="419"/>
      <c r="H14" s="427"/>
      <c r="L14" s="5"/>
      <c r="M14" s="125" t="s">
        <v>131</v>
      </c>
      <c r="N14" s="162">
        <f>(N3+N7+N11)/3</f>
        <v>1</v>
      </c>
    </row>
    <row r="15" spans="1:14" ht="12.75" customHeight="1" x14ac:dyDescent="0.2">
      <c r="A15" s="419"/>
      <c r="B15" s="419"/>
      <c r="C15" s="740"/>
      <c r="D15" s="753"/>
      <c r="E15" s="736" t="s">
        <v>352</v>
      </c>
      <c r="F15" s="737"/>
      <c r="G15" s="419"/>
      <c r="H15" s="427"/>
      <c r="L15" s="5"/>
      <c r="M15" s="5"/>
      <c r="N15" s="5"/>
    </row>
    <row r="16" spans="1:14" ht="27" customHeight="1" x14ac:dyDescent="0.2">
      <c r="A16" s="419"/>
      <c r="B16" s="419"/>
      <c r="C16" s="740"/>
      <c r="D16" s="753"/>
      <c r="E16" s="736"/>
      <c r="F16" s="737"/>
      <c r="G16" s="419"/>
      <c r="H16" s="427"/>
      <c r="I16" s="5"/>
      <c r="J16" s="5"/>
      <c r="K16" s="5"/>
      <c r="L16" s="5"/>
    </row>
    <row r="17" spans="1:12" ht="13.5" customHeight="1" x14ac:dyDescent="0.2">
      <c r="A17" s="419"/>
      <c r="B17" s="419"/>
      <c r="C17" s="740"/>
      <c r="D17" s="753"/>
      <c r="E17" s="736"/>
      <c r="F17" s="737"/>
      <c r="G17" s="419"/>
      <c r="H17" s="427"/>
      <c r="I17" s="5"/>
      <c r="J17" s="5"/>
      <c r="K17" s="5"/>
      <c r="L17" s="5"/>
    </row>
    <row r="18" spans="1:12" ht="13.5" customHeight="1" x14ac:dyDescent="0.2">
      <c r="A18" s="419"/>
      <c r="B18" s="419"/>
      <c r="C18" s="740"/>
      <c r="D18" s="753"/>
      <c r="E18" s="736"/>
      <c r="F18" s="737"/>
      <c r="G18" s="419"/>
      <c r="H18" s="427"/>
      <c r="I18" s="5"/>
      <c r="J18" s="5"/>
      <c r="K18" s="5"/>
      <c r="L18" s="5"/>
    </row>
    <row r="19" spans="1:12" ht="27" customHeight="1" x14ac:dyDescent="0.2">
      <c r="A19" s="419"/>
      <c r="B19" s="419"/>
      <c r="C19" s="740"/>
      <c r="D19" s="753"/>
      <c r="E19" s="736" t="s">
        <v>343</v>
      </c>
      <c r="F19" s="737"/>
      <c r="G19" s="419"/>
      <c r="H19" s="427"/>
      <c r="I19" s="124"/>
      <c r="J19" s="124"/>
      <c r="K19" s="5"/>
      <c r="L19" s="5"/>
    </row>
    <row r="20" spans="1:12" ht="27" customHeight="1" x14ac:dyDescent="0.2">
      <c r="A20" s="419"/>
      <c r="B20" s="419"/>
      <c r="C20" s="740"/>
      <c r="D20" s="753"/>
      <c r="E20" s="736"/>
      <c r="F20" s="737"/>
      <c r="G20" s="419"/>
      <c r="H20" s="427"/>
      <c r="I20" s="124"/>
      <c r="J20" s="124"/>
      <c r="K20" s="5"/>
      <c r="L20" s="5"/>
    </row>
    <row r="21" spans="1:12" ht="13.5" customHeight="1" x14ac:dyDescent="0.2">
      <c r="A21" s="419"/>
      <c r="B21" s="419"/>
      <c r="C21" s="740"/>
      <c r="D21" s="753"/>
      <c r="E21" s="736" t="s">
        <v>315</v>
      </c>
      <c r="F21" s="737"/>
      <c r="G21" s="419"/>
      <c r="H21" s="427"/>
      <c r="I21" s="124"/>
      <c r="J21" s="124"/>
      <c r="K21" s="5"/>
      <c r="L21" s="5"/>
    </row>
    <row r="22" spans="1:12" ht="13.5" customHeight="1" x14ac:dyDescent="0.2">
      <c r="A22" s="419"/>
      <c r="B22" s="419"/>
      <c r="C22" s="740"/>
      <c r="D22" s="753"/>
      <c r="E22" s="736"/>
      <c r="F22" s="737"/>
      <c r="G22" s="419"/>
      <c r="H22" s="427"/>
      <c r="I22" s="5"/>
      <c r="J22" s="5"/>
      <c r="K22" s="5"/>
      <c r="L22" s="5"/>
    </row>
    <row r="23" spans="1:12" ht="13.5" customHeight="1" x14ac:dyDescent="0.2">
      <c r="A23" s="419"/>
      <c r="B23" s="419"/>
      <c r="C23" s="741"/>
      <c r="D23" s="754"/>
      <c r="E23" s="736"/>
      <c r="F23" s="737"/>
      <c r="G23" s="419"/>
      <c r="H23" s="427"/>
      <c r="I23" s="126"/>
      <c r="J23" s="5"/>
      <c r="K23" s="5"/>
      <c r="L23" s="5"/>
    </row>
    <row r="24" spans="1:12" ht="13.5" customHeight="1" x14ac:dyDescent="0.2">
      <c r="A24" s="419"/>
      <c r="B24" s="419"/>
      <c r="C24" s="739" t="s">
        <v>4</v>
      </c>
      <c r="D24" s="428" t="s">
        <v>344</v>
      </c>
      <c r="E24" s="733" t="s">
        <v>397</v>
      </c>
      <c r="F24" s="733"/>
      <c r="G24" s="419"/>
      <c r="H24" s="427"/>
      <c r="I24" s="5"/>
      <c r="J24" s="5"/>
      <c r="K24" s="5"/>
      <c r="L24" s="5"/>
    </row>
    <row r="25" spans="1:12" ht="12.75" customHeight="1" x14ac:dyDescent="0.2">
      <c r="A25" s="419"/>
      <c r="B25" s="419"/>
      <c r="C25" s="740"/>
      <c r="D25" s="429">
        <f>100-5</f>
        <v>95</v>
      </c>
      <c r="E25" s="733"/>
      <c r="F25" s="733"/>
      <c r="G25" s="419"/>
      <c r="H25" s="427"/>
      <c r="I25" s="5"/>
      <c r="J25" s="5"/>
      <c r="K25" s="5"/>
      <c r="L25" s="5"/>
    </row>
    <row r="26" spans="1:12" ht="12.75" customHeight="1" x14ac:dyDescent="0.2">
      <c r="A26" s="419"/>
      <c r="B26" s="419"/>
      <c r="C26" s="740"/>
      <c r="D26" s="429" t="s">
        <v>244</v>
      </c>
      <c r="E26" s="733"/>
      <c r="F26" s="733"/>
      <c r="G26" s="419"/>
      <c r="H26" s="427"/>
      <c r="I26" s="5"/>
      <c r="J26" s="5"/>
      <c r="K26" s="5"/>
      <c r="L26" s="5"/>
    </row>
    <row r="27" spans="1:12" ht="26.25" customHeight="1" x14ac:dyDescent="0.2">
      <c r="A27" s="419"/>
      <c r="B27" s="419"/>
      <c r="C27" s="740"/>
      <c r="D27" s="429">
        <f>100</f>
        <v>100</v>
      </c>
      <c r="E27" s="733"/>
      <c r="F27" s="733"/>
      <c r="G27" s="430"/>
      <c r="H27" s="427"/>
      <c r="I27" s="5"/>
      <c r="J27" s="5"/>
      <c r="K27" s="5"/>
      <c r="L27" s="5"/>
    </row>
    <row r="28" spans="1:12" ht="13.5" customHeight="1" x14ac:dyDescent="0.2">
      <c r="A28" s="419"/>
      <c r="B28" s="419"/>
      <c r="C28" s="740"/>
      <c r="D28" s="429" t="s">
        <v>345</v>
      </c>
      <c r="E28" s="733"/>
      <c r="F28" s="733"/>
      <c r="G28" s="419"/>
      <c r="H28" s="427"/>
      <c r="I28" s="5"/>
      <c r="J28" s="5"/>
      <c r="K28" s="5"/>
      <c r="L28" s="5"/>
    </row>
    <row r="29" spans="1:12" ht="12.75" customHeight="1" x14ac:dyDescent="0.2">
      <c r="A29" s="419"/>
      <c r="B29" s="419"/>
      <c r="C29" s="740"/>
      <c r="D29" s="429">
        <f>100</f>
        <v>100</v>
      </c>
      <c r="E29" s="733"/>
      <c r="F29" s="733"/>
      <c r="G29" s="419"/>
      <c r="H29" s="427"/>
      <c r="I29" s="5"/>
      <c r="J29" s="5"/>
      <c r="K29" s="5"/>
      <c r="L29" s="5"/>
    </row>
    <row r="30" spans="1:12" ht="13.5" customHeight="1" x14ac:dyDescent="0.2">
      <c r="A30" s="419"/>
      <c r="B30" s="419"/>
      <c r="C30" s="740"/>
      <c r="D30" s="431" t="s">
        <v>327</v>
      </c>
      <c r="E30" s="742" t="s">
        <v>398</v>
      </c>
      <c r="F30" s="742"/>
      <c r="G30" s="419"/>
      <c r="H30" s="419"/>
      <c r="I30" s="5"/>
      <c r="J30" s="5"/>
      <c r="K30" s="5"/>
      <c r="L30" s="5"/>
    </row>
    <row r="31" spans="1:12" ht="22.5" customHeight="1" x14ac:dyDescent="0.25">
      <c r="A31" s="419"/>
      <c r="B31" s="419"/>
      <c r="C31" s="741"/>
      <c r="D31" s="431">
        <f>100-35</f>
        <v>65</v>
      </c>
      <c r="E31" s="742"/>
      <c r="F31" s="742"/>
      <c r="G31" s="419"/>
      <c r="H31" s="419"/>
    </row>
    <row r="32" spans="1:12" ht="13.5" customHeight="1" x14ac:dyDescent="0.25">
      <c r="A32" s="419"/>
      <c r="B32" s="419"/>
      <c r="C32" s="744" t="s">
        <v>209</v>
      </c>
      <c r="D32" s="747">
        <f>100-30</f>
        <v>70</v>
      </c>
      <c r="E32" s="736" t="s">
        <v>399</v>
      </c>
      <c r="F32" s="737"/>
      <c r="G32" s="419"/>
      <c r="H32" s="432"/>
    </row>
    <row r="33" spans="1:14" ht="13.5" customHeight="1" x14ac:dyDescent="0.25">
      <c r="A33" s="419"/>
      <c r="B33" s="419"/>
      <c r="C33" s="745"/>
      <c r="D33" s="748"/>
      <c r="E33" s="736"/>
      <c r="F33" s="737"/>
      <c r="G33" s="419"/>
      <c r="H33" s="432"/>
    </row>
    <row r="34" spans="1:14" ht="13.5" customHeight="1" x14ac:dyDescent="0.25">
      <c r="A34" s="419"/>
      <c r="B34" s="419"/>
      <c r="C34" s="746"/>
      <c r="D34" s="749"/>
      <c r="E34" s="750"/>
      <c r="F34" s="751"/>
      <c r="G34" s="419"/>
      <c r="H34" s="432"/>
    </row>
    <row r="35" spans="1:14" ht="13.5" customHeight="1" x14ac:dyDescent="0.2">
      <c r="A35" s="420"/>
      <c r="B35" s="420"/>
      <c r="C35" s="420"/>
      <c r="D35" s="420"/>
      <c r="E35" s="420"/>
      <c r="F35" s="420"/>
      <c r="G35" s="422"/>
      <c r="H35" s="433"/>
    </row>
    <row r="36" spans="1:14" ht="15" x14ac:dyDescent="0.25">
      <c r="A36" s="743" t="s">
        <v>400</v>
      </c>
      <c r="B36" s="743"/>
      <c r="C36" s="743"/>
      <c r="D36" s="743"/>
      <c r="E36" s="743"/>
      <c r="F36" s="743"/>
      <c r="G36" s="743"/>
      <c r="H36" s="743"/>
    </row>
    <row r="37" spans="1:14" ht="15" x14ac:dyDescent="0.2">
      <c r="A37" s="743" t="s">
        <v>311</v>
      </c>
      <c r="B37" s="743"/>
      <c r="C37" s="743"/>
      <c r="D37" s="743"/>
      <c r="E37" s="743"/>
      <c r="F37" s="743"/>
      <c r="G37" s="743"/>
      <c r="H37" s="743"/>
      <c r="I37" s="5"/>
    </row>
    <row r="38" spans="1:14" ht="12.75" x14ac:dyDescent="0.2">
      <c r="I38" s="5"/>
      <c r="J38" s="5"/>
      <c r="K38" s="5"/>
      <c r="L38" s="5"/>
      <c r="M38" s="5"/>
    </row>
    <row r="39" spans="1:14" ht="14.25" customHeight="1" x14ac:dyDescent="0.2">
      <c r="I39" s="5"/>
      <c r="J39" s="5"/>
      <c r="K39" s="5"/>
      <c r="L39" s="5"/>
      <c r="M39" s="5"/>
      <c r="N39" s="5"/>
    </row>
    <row r="40" spans="1:14" ht="15" customHeight="1" x14ac:dyDescent="0.2">
      <c r="I40" s="1"/>
      <c r="J40" s="1"/>
      <c r="K40" s="1"/>
      <c r="L40" s="1"/>
      <c r="M40" s="1"/>
      <c r="N40" s="1"/>
    </row>
    <row r="41" spans="1:14" ht="15" customHeight="1" x14ac:dyDescent="0.25"/>
    <row r="42" spans="1:14" ht="20.25" customHeight="1" x14ac:dyDescent="0.25"/>
    <row r="43" spans="1:14" ht="14.25" customHeight="1" x14ac:dyDescent="0.25"/>
    <row r="44" spans="1:14" ht="18" customHeight="1" x14ac:dyDescent="0.25"/>
    <row r="45" spans="1:14" ht="18" customHeight="1" x14ac:dyDescent="0.25"/>
    <row r="46" spans="1:14" ht="18" customHeight="1" x14ac:dyDescent="0.25"/>
    <row r="47" spans="1:14" ht="18" customHeight="1" x14ac:dyDescent="0.25"/>
    <row r="48" spans="1:14" ht="18" customHeight="1" x14ac:dyDescent="0.25"/>
    <row r="49" ht="18" customHeight="1" x14ac:dyDescent="0.25"/>
    <row r="50" ht="18" customHeight="1" x14ac:dyDescent="0.25"/>
    <row r="51" ht="18" customHeight="1" x14ac:dyDescent="0.25"/>
    <row r="52" ht="24" customHeight="1" x14ac:dyDescent="0.25"/>
    <row r="53" ht="24" customHeight="1" x14ac:dyDescent="0.25"/>
    <row r="54" ht="14.25" customHeight="1" x14ac:dyDescent="0.25"/>
    <row r="55" ht="24" customHeight="1" x14ac:dyDescent="0.25"/>
    <row r="56" ht="24" customHeight="1" x14ac:dyDescent="0.25"/>
    <row r="57" ht="24" customHeight="1" x14ac:dyDescent="0.25"/>
    <row r="58" ht="24" customHeight="1" x14ac:dyDescent="0.25"/>
    <row r="59" ht="18" customHeight="1" x14ac:dyDescent="0.25"/>
    <row r="60" ht="14.25" customHeight="1" x14ac:dyDescent="0.25"/>
    <row r="61" ht="25.5" customHeight="1" x14ac:dyDescent="0.25"/>
    <row r="62" ht="19.5" customHeight="1" x14ac:dyDescent="0.25"/>
    <row r="63" ht="14.25" customHeight="1" x14ac:dyDescent="0.25"/>
    <row r="64" ht="21.75" customHeight="1" x14ac:dyDescent="0.25"/>
    <row r="65" ht="14.25" customHeight="1" x14ac:dyDescent="0.25"/>
    <row r="66" ht="14.25" customHeight="1" x14ac:dyDescent="0.25"/>
    <row r="67" ht="14.25" customHeight="1" x14ac:dyDescent="0.25"/>
    <row r="68" ht="25.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33" customHeight="1" x14ac:dyDescent="0.25"/>
    <row r="81" ht="10.5" customHeight="1" x14ac:dyDescent="0.25"/>
    <row r="82" ht="16.5" customHeight="1" x14ac:dyDescent="0.25"/>
    <row r="83" ht="14.25" customHeight="1" x14ac:dyDescent="0.25"/>
    <row r="84" ht="14.25" customHeight="1" x14ac:dyDescent="0.25"/>
    <row r="85" ht="14.25" customHeight="1" x14ac:dyDescent="0.25"/>
    <row r="86" ht="9" customHeight="1" x14ac:dyDescent="0.25"/>
    <row r="87" ht="9.75" customHeight="1" x14ac:dyDescent="0.25"/>
    <row r="88" ht="14.25" customHeight="1" x14ac:dyDescent="0.25"/>
    <row r="89" ht="22.5" customHeight="1" x14ac:dyDescent="0.25"/>
    <row r="90" ht="22.5" customHeight="1" x14ac:dyDescent="0.25"/>
    <row r="91" ht="22.5" customHeight="1" x14ac:dyDescent="0.25"/>
    <row r="92" ht="22.5" customHeight="1" x14ac:dyDescent="0.25"/>
    <row r="93" ht="22.5" customHeight="1" x14ac:dyDescent="0.25"/>
    <row r="94" ht="22.5" customHeight="1" x14ac:dyDescent="0.25"/>
    <row r="95" ht="22.5" customHeight="1" x14ac:dyDescent="0.25"/>
    <row r="96" ht="22.5" customHeight="1" x14ac:dyDescent="0.25"/>
    <row r="98" ht="14.25" customHeight="1" x14ac:dyDescent="0.25"/>
    <row r="99" ht="14.25" customHeight="1" x14ac:dyDescent="0.25"/>
    <row r="100" ht="8.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8" ht="14.25" customHeight="1" x14ac:dyDescent="0.25"/>
    <row r="109" ht="14.25" customHeight="1" x14ac:dyDescent="0.25"/>
  </sheetData>
  <mergeCells count="36">
    <mergeCell ref="M9:N9"/>
    <mergeCell ref="G10:H10"/>
    <mergeCell ref="G9:H9"/>
    <mergeCell ref="I9:K9"/>
    <mergeCell ref="I1:K1"/>
    <mergeCell ref="M1:N1"/>
    <mergeCell ref="G2:H2"/>
    <mergeCell ref="G4:H4"/>
    <mergeCell ref="G5:H5"/>
    <mergeCell ref="I5:K5"/>
    <mergeCell ref="M5:N5"/>
    <mergeCell ref="G6:H6"/>
    <mergeCell ref="G7:H8"/>
    <mergeCell ref="A36:H36"/>
    <mergeCell ref="A37:H37"/>
    <mergeCell ref="C8:F9"/>
    <mergeCell ref="E21:F22"/>
    <mergeCell ref="E17:F18"/>
    <mergeCell ref="E20:F20"/>
    <mergeCell ref="E19:F19"/>
    <mergeCell ref="E23:F23"/>
    <mergeCell ref="C32:C34"/>
    <mergeCell ref="D32:D34"/>
    <mergeCell ref="E32:F34"/>
    <mergeCell ref="C13:C23"/>
    <mergeCell ref="D13:D23"/>
    <mergeCell ref="E13:F14"/>
    <mergeCell ref="E26:F27"/>
    <mergeCell ref="E24:F25"/>
    <mergeCell ref="E28:F29"/>
    <mergeCell ref="E12:F12"/>
    <mergeCell ref="E15:F16"/>
    <mergeCell ref="C4:F5"/>
    <mergeCell ref="C6:F6"/>
    <mergeCell ref="C24:C31"/>
    <mergeCell ref="E30:F31"/>
  </mergeCells>
  <pageMargins left="0.7" right="0.7" top="0.75" bottom="0.75" header="0.3" footer="0.3"/>
  <pageSetup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43B18-F1BF-4EFD-8905-279C550A29C7}">
  <sheetPr codeName="Hoja1"/>
  <dimension ref="A1:AD170"/>
  <sheetViews>
    <sheetView zoomScale="70" zoomScaleNormal="70" zoomScalePageLayoutView="70" workbookViewId="0">
      <selection activeCell="F75" sqref="F75"/>
    </sheetView>
  </sheetViews>
  <sheetFormatPr baseColWidth="10" defaultRowHeight="14.25" x14ac:dyDescent="0.2"/>
  <cols>
    <col min="1" max="1" width="16.7109375" style="1" bestFit="1" customWidth="1"/>
    <col min="2" max="2" width="13.85546875" style="1" customWidth="1"/>
    <col min="3" max="5" width="9.42578125" style="1" customWidth="1"/>
    <col min="6" max="6" width="8.7109375" style="1" customWidth="1"/>
    <col min="7" max="12" width="10.28515625" style="1" customWidth="1"/>
    <col min="13" max="14" width="7.42578125" style="1" customWidth="1"/>
    <col min="15" max="16" width="6.85546875" style="1" customWidth="1"/>
    <col min="17" max="17" width="2.7109375" style="1" customWidth="1"/>
    <col min="18" max="20" width="6.7109375" style="1" customWidth="1"/>
    <col min="21" max="21" width="2.5703125" style="1" customWidth="1"/>
    <col min="22" max="24" width="6.7109375" style="1" customWidth="1"/>
    <col min="25" max="25" width="2.7109375" style="1" customWidth="1"/>
    <col min="26" max="26" width="6.7109375" style="66" customWidth="1"/>
    <col min="27" max="28" width="6.7109375" style="86" customWidth="1"/>
    <col min="29" max="29" width="2.7109375" style="1" customWidth="1"/>
    <col min="30" max="16384" width="11.42578125" style="1"/>
  </cols>
  <sheetData>
    <row r="1" spans="1:30" x14ac:dyDescent="0.2">
      <c r="A1" s="1">
        <f ca="1">A1:L29</f>
        <v>0</v>
      </c>
      <c r="N1" s="525" t="s">
        <v>93</v>
      </c>
      <c r="O1" s="525"/>
      <c r="P1" s="525"/>
      <c r="R1" s="525" t="s">
        <v>85</v>
      </c>
      <c r="S1" s="525"/>
      <c r="T1" s="525"/>
      <c r="U1" s="72"/>
      <c r="V1" s="525" t="s">
        <v>101</v>
      </c>
      <c r="W1" s="525"/>
      <c r="X1" s="525"/>
      <c r="Z1" s="520" t="s">
        <v>60</v>
      </c>
      <c r="AA1" s="520"/>
      <c r="AB1" s="520"/>
      <c r="AC1" s="520" t="s">
        <v>104</v>
      </c>
      <c r="AD1" s="520"/>
    </row>
    <row r="2" spans="1:30" x14ac:dyDescent="0.2">
      <c r="K2" s="520" t="s">
        <v>200</v>
      </c>
      <c r="L2" s="520"/>
      <c r="M2" s="72"/>
      <c r="N2" s="72" t="s">
        <v>46</v>
      </c>
      <c r="O2" s="72" t="s">
        <v>14</v>
      </c>
      <c r="P2" s="72" t="s">
        <v>13</v>
      </c>
      <c r="Q2" s="72"/>
      <c r="R2" s="72" t="s">
        <v>46</v>
      </c>
      <c r="S2" s="72" t="s">
        <v>14</v>
      </c>
      <c r="T2" s="72" t="s">
        <v>13</v>
      </c>
      <c r="U2" s="72"/>
      <c r="V2" s="72" t="s">
        <v>46</v>
      </c>
      <c r="W2" s="72" t="s">
        <v>14</v>
      </c>
      <c r="X2" s="72" t="s">
        <v>13</v>
      </c>
      <c r="Z2" s="4" t="s">
        <v>20</v>
      </c>
      <c r="AA2" s="40">
        <f>(S3)*10</f>
        <v>0</v>
      </c>
      <c r="AB2" s="41">
        <f>(10*AA2)/10</f>
        <v>0</v>
      </c>
    </row>
    <row r="3" spans="1:30" x14ac:dyDescent="0.2">
      <c r="N3" s="72">
        <v>5</v>
      </c>
      <c r="O3" s="72">
        <v>0</v>
      </c>
      <c r="P3" s="72">
        <f>(N3-O3)</f>
        <v>5</v>
      </c>
      <c r="R3" s="72">
        <v>8</v>
      </c>
      <c r="S3" s="72">
        <v>0</v>
      </c>
      <c r="T3" s="72">
        <f>(R3-S3)</f>
        <v>8</v>
      </c>
      <c r="U3" s="72"/>
      <c r="V3" s="72">
        <v>7</v>
      </c>
      <c r="W3" s="72">
        <v>0</v>
      </c>
      <c r="X3" s="72">
        <f>(V3-W3)</f>
        <v>7</v>
      </c>
      <c r="Z3" s="4" t="s">
        <v>21</v>
      </c>
      <c r="AA3" s="40">
        <f>(O3)*10</f>
        <v>0</v>
      </c>
      <c r="AB3" s="41">
        <f>(10*AA3)/10</f>
        <v>0</v>
      </c>
    </row>
    <row r="4" spans="1:30" ht="15" customHeight="1" x14ac:dyDescent="0.25">
      <c r="B4" s="452" t="s">
        <v>25</v>
      </c>
      <c r="C4" s="452"/>
      <c r="D4" s="452"/>
      <c r="E4" s="452"/>
      <c r="F4" s="452"/>
      <c r="G4" s="452"/>
      <c r="H4" s="452"/>
      <c r="I4" s="452"/>
      <c r="J4" s="452"/>
      <c r="K4" s="762" t="s">
        <v>0</v>
      </c>
      <c r="L4" s="762"/>
      <c r="M4" s="22"/>
      <c r="N4" s="72"/>
      <c r="O4" s="72"/>
      <c r="P4" s="72"/>
      <c r="Q4" s="22"/>
      <c r="R4" s="72"/>
      <c r="S4" s="72"/>
      <c r="T4" s="72"/>
      <c r="U4" s="72"/>
      <c r="V4" s="72"/>
      <c r="W4" s="72"/>
      <c r="Z4" s="4" t="s">
        <v>22</v>
      </c>
      <c r="AA4" s="40">
        <f>(W3)*10</f>
        <v>0</v>
      </c>
      <c r="AB4" s="41">
        <f>(10*AA4)/10</f>
        <v>0</v>
      </c>
    </row>
    <row r="5" spans="1:30" ht="15" customHeight="1" x14ac:dyDescent="0.2">
      <c r="B5" s="452"/>
      <c r="C5" s="452"/>
      <c r="D5" s="452"/>
      <c r="E5" s="452"/>
      <c r="F5" s="452"/>
      <c r="G5" s="452"/>
      <c r="H5" s="452"/>
      <c r="I5" s="452"/>
      <c r="J5" s="452"/>
      <c r="K5" s="763" t="s">
        <v>201</v>
      </c>
      <c r="L5" s="763"/>
      <c r="M5" s="66"/>
      <c r="N5" s="525" t="s">
        <v>94</v>
      </c>
      <c r="O5" s="525"/>
      <c r="P5" s="525"/>
      <c r="Q5" s="66"/>
      <c r="R5" s="525" t="s">
        <v>86</v>
      </c>
      <c r="S5" s="525"/>
      <c r="T5" s="525"/>
      <c r="V5" s="525" t="s">
        <v>84</v>
      </c>
      <c r="W5" s="525"/>
      <c r="X5" s="525"/>
      <c r="Z5" s="525" t="s">
        <v>52</v>
      </c>
      <c r="AA5" s="525"/>
      <c r="AB5" s="525"/>
    </row>
    <row r="6" spans="1:30" ht="15" customHeight="1" x14ac:dyDescent="0.2">
      <c r="C6" s="764"/>
      <c r="D6" s="764"/>
      <c r="E6" s="764"/>
      <c r="F6" s="764"/>
      <c r="G6" s="764"/>
      <c r="H6" s="764"/>
      <c r="I6" s="764"/>
      <c r="K6" s="468" t="s">
        <v>31</v>
      </c>
      <c r="L6" s="468"/>
      <c r="M6" s="73"/>
      <c r="N6" s="72" t="s">
        <v>46</v>
      </c>
      <c r="O6" s="72" t="s">
        <v>14</v>
      </c>
      <c r="P6" s="72" t="s">
        <v>13</v>
      </c>
      <c r="Q6" s="73"/>
      <c r="R6" s="72" t="s">
        <v>46</v>
      </c>
      <c r="S6" s="72" t="s">
        <v>14</v>
      </c>
      <c r="T6" s="72" t="s">
        <v>13</v>
      </c>
      <c r="U6" s="72"/>
      <c r="V6" s="72" t="s">
        <v>46</v>
      </c>
      <c r="W6" s="72" t="s">
        <v>14</v>
      </c>
      <c r="X6" s="72" t="s">
        <v>13</v>
      </c>
      <c r="Z6" s="4" t="s">
        <v>20</v>
      </c>
      <c r="AA6" s="40">
        <f>(S7)*10</f>
        <v>0</v>
      </c>
      <c r="AB6" s="41">
        <f>(10*AA6)/10</f>
        <v>0</v>
      </c>
    </row>
    <row r="7" spans="1:30" ht="14.25" customHeight="1" x14ac:dyDescent="0.2">
      <c r="K7" s="760">
        <f>(D18+D62+D106+D116)/4</f>
        <v>39.583333333333336</v>
      </c>
      <c r="L7" s="760"/>
      <c r="M7" s="23"/>
      <c r="N7" s="72">
        <v>17</v>
      </c>
      <c r="O7" s="72">
        <v>0</v>
      </c>
      <c r="P7" s="72">
        <f>(N7-O7)</f>
        <v>17</v>
      </c>
      <c r="Q7" s="23"/>
      <c r="R7" s="72">
        <v>16</v>
      </c>
      <c r="S7" s="72">
        <v>0</v>
      </c>
      <c r="T7" s="72">
        <f>(R7-S7)</f>
        <v>16</v>
      </c>
      <c r="U7" s="72"/>
      <c r="V7" s="72">
        <v>7</v>
      </c>
      <c r="W7" s="72">
        <v>0</v>
      </c>
      <c r="X7" s="72">
        <f>(V7-W7)</f>
        <v>7</v>
      </c>
      <c r="Z7" s="4" t="s">
        <v>21</v>
      </c>
      <c r="AA7" s="40">
        <f>(O7)*10</f>
        <v>0</v>
      </c>
      <c r="AB7" s="41">
        <f>(10*AA7)/10</f>
        <v>0</v>
      </c>
    </row>
    <row r="8" spans="1:30" x14ac:dyDescent="0.2">
      <c r="C8" s="458" t="s">
        <v>30</v>
      </c>
      <c r="D8" s="458"/>
      <c r="E8" s="458"/>
      <c r="F8" s="458"/>
      <c r="G8" s="458"/>
      <c r="H8" s="458"/>
      <c r="I8" s="458"/>
      <c r="K8" s="760"/>
      <c r="L8" s="760"/>
      <c r="M8" s="24"/>
      <c r="Q8" s="24"/>
      <c r="U8" s="72"/>
      <c r="Z8" s="4" t="s">
        <v>22</v>
      </c>
      <c r="AA8" s="40">
        <f>(W7)*10</f>
        <v>0</v>
      </c>
      <c r="AB8" s="41">
        <f>(10*AA8)/10</f>
        <v>0</v>
      </c>
    </row>
    <row r="9" spans="1:30" ht="14.25" customHeight="1" x14ac:dyDescent="0.2">
      <c r="C9" s="458"/>
      <c r="D9" s="458"/>
      <c r="E9" s="458"/>
      <c r="F9" s="458"/>
      <c r="G9" s="458"/>
      <c r="H9" s="458"/>
      <c r="I9" s="458"/>
      <c r="K9" s="761" t="s">
        <v>108</v>
      </c>
      <c r="L9" s="761"/>
      <c r="N9" s="525" t="s">
        <v>95</v>
      </c>
      <c r="O9" s="525"/>
      <c r="P9" s="525"/>
      <c r="R9" s="525" t="s">
        <v>87</v>
      </c>
      <c r="S9" s="525"/>
      <c r="T9" s="525"/>
      <c r="V9" s="525" t="s">
        <v>102</v>
      </c>
      <c r="W9" s="525"/>
      <c r="X9" s="525"/>
      <c r="Z9" s="525" t="s">
        <v>61</v>
      </c>
      <c r="AA9" s="525"/>
      <c r="AB9" s="525"/>
    </row>
    <row r="10" spans="1:30" ht="19.5" x14ac:dyDescent="0.25">
      <c r="H10" s="2"/>
      <c r="I10" s="2"/>
      <c r="K10" s="768"/>
      <c r="L10" s="769"/>
      <c r="N10" s="72" t="s">
        <v>46</v>
      </c>
      <c r="O10" s="72" t="s">
        <v>14</v>
      </c>
      <c r="P10" s="72" t="s">
        <v>13</v>
      </c>
      <c r="R10" s="72" t="s">
        <v>46</v>
      </c>
      <c r="S10" s="72" t="s">
        <v>14</v>
      </c>
      <c r="T10" s="72" t="s">
        <v>13</v>
      </c>
      <c r="V10" s="72" t="s">
        <v>46</v>
      </c>
      <c r="W10" s="72" t="s">
        <v>14</v>
      </c>
      <c r="X10" s="72" t="s">
        <v>13</v>
      </c>
      <c r="Z10" s="4" t="s">
        <v>20</v>
      </c>
      <c r="AA10" s="40">
        <f>(S11)*10</f>
        <v>0</v>
      </c>
      <c r="AB10" s="41">
        <f>(10*AA10)/10</f>
        <v>0</v>
      </c>
    </row>
    <row r="11" spans="1:30" ht="13.5" customHeight="1" x14ac:dyDescent="0.25">
      <c r="H11" s="2"/>
      <c r="I11" s="2"/>
      <c r="N11" s="72">
        <v>8</v>
      </c>
      <c r="O11" s="72">
        <v>0</v>
      </c>
      <c r="P11" s="72">
        <f>(N11-O11)</f>
        <v>8</v>
      </c>
      <c r="R11" s="72">
        <v>7</v>
      </c>
      <c r="S11" s="72">
        <v>0</v>
      </c>
      <c r="T11" s="72">
        <f>(R11-S11)</f>
        <v>7</v>
      </c>
      <c r="V11" s="72">
        <v>7</v>
      </c>
      <c r="W11" s="72">
        <v>0</v>
      </c>
      <c r="X11" s="72">
        <f>(V11-W11)</f>
        <v>7</v>
      </c>
      <c r="Z11" s="4" t="s">
        <v>21</v>
      </c>
      <c r="AA11" s="40">
        <f>(O11)*10</f>
        <v>0</v>
      </c>
      <c r="AB11" s="41">
        <f>(10*AA11)/10</f>
        <v>0</v>
      </c>
    </row>
    <row r="12" spans="1:30" x14ac:dyDescent="0.2">
      <c r="A12" s="511" t="s">
        <v>26</v>
      </c>
      <c r="B12" s="511"/>
      <c r="C12" s="511"/>
      <c r="D12" s="511"/>
      <c r="E12" s="511"/>
      <c r="F12" s="511"/>
      <c r="G12" s="511"/>
      <c r="H12" s="511"/>
      <c r="I12" s="511"/>
      <c r="J12" s="511"/>
      <c r="K12" s="511"/>
      <c r="L12" s="511"/>
      <c r="M12" s="81"/>
      <c r="Q12" s="81"/>
      <c r="Z12" s="4" t="s">
        <v>22</v>
      </c>
      <c r="AA12" s="40">
        <f>(W11)*10</f>
        <v>0</v>
      </c>
      <c r="AB12" s="41">
        <f>(10*AA12)/10</f>
        <v>0</v>
      </c>
    </row>
    <row r="13" spans="1:30" ht="30" customHeight="1" x14ac:dyDescent="0.2">
      <c r="A13" s="511"/>
      <c r="B13" s="511"/>
      <c r="C13" s="511"/>
      <c r="D13" s="511"/>
      <c r="E13" s="511"/>
      <c r="F13" s="511"/>
      <c r="G13" s="511"/>
      <c r="H13" s="511"/>
      <c r="I13" s="511"/>
      <c r="J13" s="511"/>
      <c r="K13" s="511"/>
      <c r="L13" s="511"/>
      <c r="M13" s="81"/>
      <c r="N13" s="525" t="s">
        <v>96</v>
      </c>
      <c r="O13" s="525"/>
      <c r="P13" s="525"/>
      <c r="Q13" s="81"/>
      <c r="R13" s="525" t="s">
        <v>88</v>
      </c>
      <c r="S13" s="525"/>
      <c r="T13" s="525"/>
      <c r="V13" s="525" t="s">
        <v>103</v>
      </c>
      <c r="W13" s="525"/>
      <c r="X13" s="525"/>
      <c r="Z13" s="525" t="s">
        <v>53</v>
      </c>
      <c r="AA13" s="525"/>
      <c r="AB13" s="525"/>
    </row>
    <row r="14" spans="1:30" ht="14.25" customHeight="1" x14ac:dyDescent="0.2">
      <c r="A14" s="511" t="s">
        <v>27</v>
      </c>
      <c r="B14" s="511"/>
      <c r="C14" s="511"/>
      <c r="D14" s="511"/>
      <c r="E14" s="511"/>
      <c r="F14" s="511"/>
      <c r="G14" s="511"/>
      <c r="H14" s="511"/>
      <c r="I14" s="511"/>
      <c r="J14" s="511"/>
      <c r="K14" s="511"/>
      <c r="L14" s="511"/>
      <c r="M14" s="81"/>
      <c r="N14" s="72" t="s">
        <v>46</v>
      </c>
      <c r="O14" s="72" t="s">
        <v>14</v>
      </c>
      <c r="P14" s="72" t="s">
        <v>13</v>
      </c>
      <c r="Q14" s="81"/>
      <c r="R14" s="72" t="s">
        <v>46</v>
      </c>
      <c r="S14" s="72" t="s">
        <v>14</v>
      </c>
      <c r="T14" s="72" t="s">
        <v>13</v>
      </c>
      <c r="V14" s="72" t="s">
        <v>46</v>
      </c>
      <c r="W14" s="72" t="s">
        <v>14</v>
      </c>
      <c r="X14" s="72" t="s">
        <v>13</v>
      </c>
      <c r="Z14" s="4" t="s">
        <v>20</v>
      </c>
      <c r="AA14" s="40">
        <f>(S15)*10</f>
        <v>0</v>
      </c>
      <c r="AB14" s="41">
        <f>(10*AA14)/10</f>
        <v>0</v>
      </c>
    </row>
    <row r="15" spans="1:30" ht="14.25" customHeight="1" x14ac:dyDescent="0.2">
      <c r="A15" s="81"/>
      <c r="B15" s="81"/>
      <c r="C15" s="81"/>
      <c r="D15" s="81"/>
      <c r="E15" s="81"/>
      <c r="F15" s="81"/>
      <c r="G15" s="81"/>
      <c r="H15" s="81"/>
      <c r="I15" s="81"/>
      <c r="J15" s="81"/>
      <c r="K15" s="81"/>
      <c r="L15" s="81"/>
      <c r="M15" s="81"/>
      <c r="N15" s="72">
        <v>12</v>
      </c>
      <c r="O15" s="72">
        <v>0</v>
      </c>
      <c r="P15" s="72">
        <f>(N15-O15)</f>
        <v>12</v>
      </c>
      <c r="Q15" s="81"/>
      <c r="R15" s="72">
        <v>12</v>
      </c>
      <c r="S15" s="72">
        <v>0</v>
      </c>
      <c r="T15" s="72">
        <f>(R15-S15)</f>
        <v>12</v>
      </c>
      <c r="V15" s="72">
        <v>7</v>
      </c>
      <c r="W15" s="72">
        <v>0</v>
      </c>
      <c r="X15" s="72">
        <f>(V15-W15)</f>
        <v>7</v>
      </c>
      <c r="Z15" s="4" t="s">
        <v>21</v>
      </c>
      <c r="AA15" s="40">
        <f>(O15)*10</f>
        <v>0</v>
      </c>
      <c r="AB15" s="41">
        <f>(10*AA15)/10</f>
        <v>0</v>
      </c>
    </row>
    <row r="16" spans="1:30" ht="30" customHeight="1" x14ac:dyDescent="0.2">
      <c r="A16" s="765" t="s">
        <v>132</v>
      </c>
      <c r="B16" s="766"/>
      <c r="C16" s="766"/>
      <c r="D16" s="766"/>
      <c r="E16" s="766"/>
      <c r="F16" s="766"/>
      <c r="G16" s="766"/>
      <c r="H16" s="766"/>
      <c r="I16" s="766"/>
      <c r="J16" s="766"/>
      <c r="K16" s="766"/>
      <c r="L16" s="767"/>
      <c r="M16" s="81"/>
      <c r="P16" s="72"/>
      <c r="Q16" s="81"/>
      <c r="T16" s="72"/>
      <c r="U16" s="72"/>
      <c r="Z16" s="4" t="s">
        <v>22</v>
      </c>
      <c r="AA16" s="40">
        <f>(W15)*10</f>
        <v>0</v>
      </c>
      <c r="AB16" s="41">
        <f>(10*AA16)/10</f>
        <v>0</v>
      </c>
    </row>
    <row r="17" spans="1:28" ht="15" thickBot="1" x14ac:dyDescent="0.25">
      <c r="N17" s="525" t="s">
        <v>97</v>
      </c>
      <c r="O17" s="525"/>
      <c r="P17" s="525"/>
      <c r="R17" s="525" t="s">
        <v>89</v>
      </c>
      <c r="S17" s="525"/>
      <c r="T17" s="525"/>
      <c r="U17" s="72"/>
      <c r="Z17" s="525" t="s">
        <v>62</v>
      </c>
      <c r="AA17" s="525"/>
      <c r="AB17" s="525"/>
    </row>
    <row r="18" spans="1:28" ht="15" thickBot="1" x14ac:dyDescent="0.25">
      <c r="A18" s="771" t="s">
        <v>176</v>
      </c>
      <c r="B18" s="771"/>
      <c r="C18" s="771"/>
      <c r="D18" s="770">
        <f>(B42+C42+D42)/3</f>
        <v>100</v>
      </c>
      <c r="E18" s="770"/>
      <c r="G18" s="808" t="s">
        <v>192</v>
      </c>
      <c r="H18" s="809"/>
      <c r="I18" s="809"/>
      <c r="J18" s="809"/>
      <c r="K18" s="809"/>
      <c r="L18" s="810"/>
      <c r="N18" s="66"/>
      <c r="O18" s="66"/>
      <c r="P18" s="66"/>
      <c r="R18" s="66"/>
      <c r="S18" s="66"/>
      <c r="T18" s="66"/>
      <c r="U18" s="72"/>
      <c r="AA18" s="66"/>
      <c r="AB18" s="66"/>
    </row>
    <row r="19" spans="1:28" ht="15" thickBot="1" x14ac:dyDescent="0.25">
      <c r="A19" s="771"/>
      <c r="B19" s="771"/>
      <c r="C19" s="771"/>
      <c r="D19" s="770"/>
      <c r="E19" s="770"/>
      <c r="G19" s="811"/>
      <c r="H19" s="812"/>
      <c r="I19" s="812"/>
      <c r="J19" s="812"/>
      <c r="K19" s="812"/>
      <c r="L19" s="813"/>
      <c r="N19" s="66"/>
      <c r="O19" s="66"/>
      <c r="P19" s="66"/>
      <c r="R19" s="66"/>
      <c r="S19" s="66"/>
      <c r="T19" s="66"/>
      <c r="U19" s="72"/>
      <c r="AA19" s="66"/>
      <c r="AB19" s="66"/>
    </row>
    <row r="20" spans="1:28" x14ac:dyDescent="0.2">
      <c r="N20" s="66"/>
      <c r="O20" s="66"/>
      <c r="P20" s="66"/>
      <c r="R20" s="66"/>
      <c r="S20" s="66"/>
      <c r="T20" s="66"/>
      <c r="U20" s="72"/>
      <c r="AA20" s="66"/>
      <c r="AB20" s="66"/>
    </row>
    <row r="21" spans="1:28" x14ac:dyDescent="0.2">
      <c r="A21" s="59" t="s">
        <v>1</v>
      </c>
      <c r="B21" s="83" t="s">
        <v>3</v>
      </c>
      <c r="C21" s="83" t="s">
        <v>4</v>
      </c>
      <c r="D21" s="83" t="s">
        <v>12</v>
      </c>
      <c r="E21" s="83" t="s">
        <v>131</v>
      </c>
      <c r="F21" s="465" t="s">
        <v>58</v>
      </c>
      <c r="G21" s="466"/>
      <c r="H21" s="465" t="s">
        <v>59</v>
      </c>
      <c r="I21" s="466"/>
      <c r="J21" s="465" t="s">
        <v>2</v>
      </c>
      <c r="K21" s="466"/>
      <c r="M21" s="21"/>
      <c r="N21" s="72" t="s">
        <v>46</v>
      </c>
      <c r="O21" s="72" t="s">
        <v>14</v>
      </c>
      <c r="P21" s="72" t="s">
        <v>13</v>
      </c>
      <c r="Q21" s="21"/>
      <c r="R21" s="72" t="s">
        <v>46</v>
      </c>
      <c r="S21" s="72" t="s">
        <v>14</v>
      </c>
      <c r="T21" s="72" t="s">
        <v>13</v>
      </c>
      <c r="U21" s="72"/>
      <c r="Z21" s="4" t="s">
        <v>20</v>
      </c>
      <c r="AA21" s="40">
        <f>(S22)*10</f>
        <v>0</v>
      </c>
      <c r="AB21" s="41">
        <f>(10*AA21)/10</f>
        <v>0</v>
      </c>
    </row>
    <row r="22" spans="1:28" x14ac:dyDescent="0.2">
      <c r="A22" s="475" t="s">
        <v>60</v>
      </c>
      <c r="B22" s="477">
        <f>100-AB3</f>
        <v>100</v>
      </c>
      <c r="C22" s="477">
        <f>100-AB2</f>
        <v>100</v>
      </c>
      <c r="D22" s="479">
        <f>100-AB4</f>
        <v>100</v>
      </c>
      <c r="E22" s="576">
        <f>SUM(B22:D23)-200</f>
        <v>100</v>
      </c>
      <c r="F22" s="473"/>
      <c r="G22" s="474"/>
      <c r="H22" s="575"/>
      <c r="I22" s="474"/>
      <c r="J22" s="772"/>
      <c r="K22" s="773"/>
      <c r="M22" s="74"/>
      <c r="N22" s="72">
        <v>8</v>
      </c>
      <c r="O22" s="72">
        <v>0</v>
      </c>
      <c r="P22" s="72">
        <f>(N22-O22)</f>
        <v>8</v>
      </c>
      <c r="Q22" s="74"/>
      <c r="R22" s="72">
        <v>11</v>
      </c>
      <c r="S22" s="72">
        <v>0</v>
      </c>
      <c r="T22" s="72">
        <f>(R22-S22)</f>
        <v>11</v>
      </c>
      <c r="U22" s="72"/>
      <c r="Z22" s="4" t="s">
        <v>21</v>
      </c>
      <c r="AA22" s="40">
        <f>(O22)*10</f>
        <v>0</v>
      </c>
      <c r="AB22" s="41">
        <f>(10*AA22)/10</f>
        <v>0</v>
      </c>
    </row>
    <row r="23" spans="1:28" ht="15" thickBot="1" x14ac:dyDescent="0.25">
      <c r="A23" s="476"/>
      <c r="B23" s="478"/>
      <c r="C23" s="478"/>
      <c r="D23" s="480"/>
      <c r="E23" s="483"/>
      <c r="F23" s="577"/>
      <c r="G23" s="472"/>
      <c r="H23" s="471"/>
      <c r="I23" s="472"/>
      <c r="J23" s="526"/>
      <c r="K23" s="527"/>
      <c r="M23" s="81"/>
      <c r="Q23" s="81"/>
      <c r="Z23" s="525"/>
      <c r="AA23" s="525"/>
      <c r="AB23" s="66"/>
    </row>
    <row r="24" spans="1:28" x14ac:dyDescent="0.2">
      <c r="A24" s="475" t="s">
        <v>52</v>
      </c>
      <c r="B24" s="477">
        <f>100-AB7</f>
        <v>100</v>
      </c>
      <c r="C24" s="477">
        <f>100-AB6</f>
        <v>100</v>
      </c>
      <c r="D24" s="479">
        <f>100-AB8</f>
        <v>100</v>
      </c>
      <c r="E24" s="576">
        <f>SUM(B24:D25)-200</f>
        <v>100</v>
      </c>
      <c r="F24" s="577"/>
      <c r="G24" s="472"/>
      <c r="H24" s="471"/>
      <c r="I24" s="472"/>
      <c r="J24" s="526"/>
      <c r="K24" s="527"/>
      <c r="M24" s="25"/>
      <c r="N24" s="525" t="s">
        <v>98</v>
      </c>
      <c r="O24" s="525"/>
      <c r="P24" s="525"/>
      <c r="Q24" s="25"/>
      <c r="R24" s="525" t="s">
        <v>90</v>
      </c>
      <c r="S24" s="525"/>
      <c r="T24" s="525"/>
      <c r="Z24" s="525" t="s">
        <v>64</v>
      </c>
      <c r="AA24" s="525"/>
      <c r="AB24" s="525"/>
    </row>
    <row r="25" spans="1:28" ht="15" thickBot="1" x14ac:dyDescent="0.25">
      <c r="A25" s="476"/>
      <c r="B25" s="478"/>
      <c r="C25" s="478"/>
      <c r="D25" s="480"/>
      <c r="E25" s="483"/>
      <c r="F25" s="577"/>
      <c r="G25" s="472"/>
      <c r="H25" s="471"/>
      <c r="I25" s="472"/>
      <c r="J25" s="526"/>
      <c r="K25" s="527"/>
      <c r="M25" s="25"/>
      <c r="N25" s="72" t="s">
        <v>46</v>
      </c>
      <c r="O25" s="72" t="s">
        <v>14</v>
      </c>
      <c r="P25" s="72" t="s">
        <v>13</v>
      </c>
      <c r="Q25" s="25"/>
      <c r="R25" s="72" t="s">
        <v>46</v>
      </c>
      <c r="S25" s="72" t="s">
        <v>14</v>
      </c>
      <c r="T25" s="72" t="s">
        <v>13</v>
      </c>
      <c r="Z25" s="4" t="s">
        <v>20</v>
      </c>
      <c r="AA25" s="40">
        <f>(S26)*10</f>
        <v>0</v>
      </c>
      <c r="AB25" s="41">
        <f>(10*AA25)/10</f>
        <v>0</v>
      </c>
    </row>
    <row r="26" spans="1:28" ht="15.75" customHeight="1" x14ac:dyDescent="0.2">
      <c r="A26" s="475" t="s">
        <v>61</v>
      </c>
      <c r="B26" s="477">
        <f>100-AB11</f>
        <v>100</v>
      </c>
      <c r="C26" s="477">
        <f>100-AB10</f>
        <v>100</v>
      </c>
      <c r="D26" s="479">
        <f>100-AB12</f>
        <v>100</v>
      </c>
      <c r="E26" s="482">
        <f>SUM(B26:D27)-200</f>
        <v>100</v>
      </c>
      <c r="F26" s="577"/>
      <c r="G26" s="472"/>
      <c r="H26" s="471"/>
      <c r="I26" s="472"/>
      <c r="J26" s="526"/>
      <c r="K26" s="527"/>
      <c r="M26" s="25"/>
      <c r="N26" s="72">
        <v>6</v>
      </c>
      <c r="O26" s="72">
        <v>0</v>
      </c>
      <c r="P26" s="72">
        <f>(N26-O26)</f>
        <v>6</v>
      </c>
      <c r="Q26" s="25"/>
      <c r="R26" s="72">
        <v>4</v>
      </c>
      <c r="S26" s="72">
        <v>0</v>
      </c>
      <c r="T26" s="72">
        <f>(R26-S26)</f>
        <v>4</v>
      </c>
      <c r="Z26" s="4" t="s">
        <v>21</v>
      </c>
      <c r="AA26" s="40">
        <f>(O26)*10</f>
        <v>0</v>
      </c>
      <c r="AB26" s="41">
        <f>(10*AA26)/10</f>
        <v>0</v>
      </c>
    </row>
    <row r="27" spans="1:28" ht="15" customHeight="1" thickBot="1" x14ac:dyDescent="0.25">
      <c r="A27" s="476"/>
      <c r="B27" s="478"/>
      <c r="C27" s="478"/>
      <c r="D27" s="480"/>
      <c r="E27" s="483"/>
      <c r="F27" s="577"/>
      <c r="G27" s="472"/>
      <c r="H27" s="471"/>
      <c r="I27" s="472"/>
      <c r="J27" s="526"/>
      <c r="K27" s="527"/>
      <c r="M27" s="25"/>
      <c r="Q27" s="25"/>
      <c r="Z27" s="1"/>
      <c r="AA27" s="96"/>
      <c r="AB27" s="96"/>
    </row>
    <row r="28" spans="1:28" x14ac:dyDescent="0.2">
      <c r="A28" s="475" t="s">
        <v>53</v>
      </c>
      <c r="B28" s="477">
        <f>100-AB15</f>
        <v>100</v>
      </c>
      <c r="C28" s="477">
        <f>100-AB14</f>
        <v>100</v>
      </c>
      <c r="D28" s="479">
        <f>100-AB16</f>
        <v>100</v>
      </c>
      <c r="E28" s="482">
        <f>SUM(B28:D29)-200</f>
        <v>100</v>
      </c>
      <c r="F28" s="577"/>
      <c r="G28" s="472"/>
      <c r="H28" s="471"/>
      <c r="I28" s="472"/>
      <c r="J28" s="526"/>
      <c r="K28" s="527"/>
      <c r="M28" s="25"/>
      <c r="Q28" s="25"/>
      <c r="Z28" s="525"/>
      <c r="AA28" s="525"/>
      <c r="AB28" s="66"/>
    </row>
    <row r="29" spans="1:28" ht="15" thickBot="1" x14ac:dyDescent="0.25">
      <c r="A29" s="476"/>
      <c r="B29" s="478"/>
      <c r="C29" s="478"/>
      <c r="D29" s="480"/>
      <c r="E29" s="483"/>
      <c r="F29" s="577"/>
      <c r="G29" s="472"/>
      <c r="H29" s="471"/>
      <c r="I29" s="472"/>
      <c r="J29" s="526"/>
      <c r="K29" s="527"/>
      <c r="M29" s="25"/>
      <c r="N29" s="525" t="s">
        <v>99</v>
      </c>
      <c r="O29" s="525"/>
      <c r="P29" s="525"/>
      <c r="Q29" s="25"/>
      <c r="R29" s="525" t="s">
        <v>91</v>
      </c>
      <c r="S29" s="525"/>
      <c r="T29" s="525"/>
      <c r="Z29" s="525" t="s">
        <v>65</v>
      </c>
      <c r="AA29" s="525"/>
      <c r="AB29" s="525"/>
    </row>
    <row r="30" spans="1:28" ht="15.75" customHeight="1" x14ac:dyDescent="0.2">
      <c r="A30" s="475" t="s">
        <v>62</v>
      </c>
      <c r="B30" s="477">
        <f>100-AB22</f>
        <v>100</v>
      </c>
      <c r="C30" s="477">
        <f>100-AB21</f>
        <v>100</v>
      </c>
      <c r="D30" s="479"/>
      <c r="E30" s="482">
        <f>SUM(B30:D31)-100</f>
        <v>100</v>
      </c>
      <c r="F30" s="786"/>
      <c r="G30" s="527"/>
      <c r="H30" s="471"/>
      <c r="I30" s="472"/>
      <c r="J30" s="526"/>
      <c r="K30" s="527"/>
      <c r="M30" s="74"/>
      <c r="N30" s="72" t="s">
        <v>46</v>
      </c>
      <c r="O30" s="72" t="s">
        <v>14</v>
      </c>
      <c r="P30" s="72" t="s">
        <v>13</v>
      </c>
      <c r="Q30" s="74"/>
      <c r="R30" s="72" t="s">
        <v>46</v>
      </c>
      <c r="S30" s="72" t="s">
        <v>14</v>
      </c>
      <c r="T30" s="72" t="s">
        <v>13</v>
      </c>
      <c r="Z30" s="4" t="s">
        <v>20</v>
      </c>
      <c r="AA30" s="40">
        <f>(S31)*10</f>
        <v>0</v>
      </c>
      <c r="AB30" s="41">
        <f>(10*AA30)/10</f>
        <v>0</v>
      </c>
    </row>
    <row r="31" spans="1:28" ht="15" thickBot="1" x14ac:dyDescent="0.25">
      <c r="A31" s="476"/>
      <c r="B31" s="478"/>
      <c r="C31" s="478"/>
      <c r="D31" s="480"/>
      <c r="E31" s="483"/>
      <c r="F31" s="577"/>
      <c r="G31" s="472"/>
      <c r="H31" s="471"/>
      <c r="I31" s="472"/>
      <c r="J31" s="526"/>
      <c r="K31" s="527"/>
      <c r="M31" s="74"/>
      <c r="N31" s="72">
        <v>3</v>
      </c>
      <c r="O31" s="72">
        <v>0</v>
      </c>
      <c r="P31" s="72">
        <f>(N31-O31)</f>
        <v>3</v>
      </c>
      <c r="Q31" s="74"/>
      <c r="R31" s="72">
        <v>1</v>
      </c>
      <c r="S31" s="72">
        <v>0</v>
      </c>
      <c r="T31" s="72">
        <f>(R31-S31)</f>
        <v>1</v>
      </c>
      <c r="Z31" s="4" t="s">
        <v>21</v>
      </c>
      <c r="AA31" s="40">
        <f>(O31)*10</f>
        <v>0</v>
      </c>
      <c r="AB31" s="41">
        <f>(10*AA31)/10</f>
        <v>0</v>
      </c>
    </row>
    <row r="32" spans="1:28" x14ac:dyDescent="0.2">
      <c r="A32" s="475" t="s">
        <v>125</v>
      </c>
      <c r="B32" s="477">
        <f>100-AB26</f>
        <v>100</v>
      </c>
      <c r="C32" s="477">
        <f>100-AB25</f>
        <v>100</v>
      </c>
      <c r="D32" s="479"/>
      <c r="E32" s="482">
        <f>SUM(B32:D33)-100</f>
        <v>100</v>
      </c>
      <c r="F32" s="577"/>
      <c r="G32" s="472"/>
      <c r="H32" s="471"/>
      <c r="I32" s="472"/>
      <c r="J32" s="526"/>
      <c r="K32" s="527"/>
      <c r="M32" s="25"/>
      <c r="Q32" s="25"/>
      <c r="Z32" s="525"/>
      <c r="AA32" s="525"/>
      <c r="AB32" s="66"/>
    </row>
    <row r="33" spans="1:28" ht="15" customHeight="1" thickBot="1" x14ac:dyDescent="0.25">
      <c r="A33" s="476"/>
      <c r="B33" s="478"/>
      <c r="C33" s="478"/>
      <c r="D33" s="480"/>
      <c r="E33" s="483"/>
      <c r="F33" s="577"/>
      <c r="G33" s="511"/>
      <c r="H33" s="471"/>
      <c r="I33" s="472"/>
      <c r="J33" s="471"/>
      <c r="K33" s="472"/>
      <c r="M33" s="25"/>
      <c r="N33" s="525" t="s">
        <v>100</v>
      </c>
      <c r="O33" s="525"/>
      <c r="P33" s="525"/>
      <c r="Q33" s="25"/>
      <c r="R33" s="525" t="s">
        <v>92</v>
      </c>
      <c r="S33" s="525"/>
      <c r="T33" s="525"/>
      <c r="Z33" s="525" t="s">
        <v>63</v>
      </c>
      <c r="AA33" s="525"/>
      <c r="AB33" s="525"/>
    </row>
    <row r="34" spans="1:28" x14ac:dyDescent="0.2">
      <c r="A34" s="475" t="s">
        <v>65</v>
      </c>
      <c r="B34" s="477">
        <f>100-AB31</f>
        <v>100</v>
      </c>
      <c r="C34" s="477">
        <f>100-AB30</f>
        <v>100</v>
      </c>
      <c r="D34" s="479"/>
      <c r="E34" s="482">
        <f>SUM(B34:D35)-100</f>
        <v>100</v>
      </c>
      <c r="F34" s="577"/>
      <c r="G34" s="511"/>
      <c r="H34" s="471"/>
      <c r="I34" s="472"/>
      <c r="J34" s="471"/>
      <c r="K34" s="472"/>
      <c r="M34" s="25"/>
      <c r="N34" s="72" t="s">
        <v>46</v>
      </c>
      <c r="O34" s="72" t="s">
        <v>14</v>
      </c>
      <c r="P34" s="72" t="s">
        <v>13</v>
      </c>
      <c r="Q34" s="25"/>
      <c r="R34" s="72" t="s">
        <v>46</v>
      </c>
      <c r="S34" s="72" t="s">
        <v>14</v>
      </c>
      <c r="T34" s="72" t="s">
        <v>13</v>
      </c>
      <c r="Z34" s="4" t="s">
        <v>20</v>
      </c>
      <c r="AA34" s="40">
        <f>(S35)*10</f>
        <v>0</v>
      </c>
      <c r="AB34" s="41">
        <f>(10*AA34)/10</f>
        <v>0</v>
      </c>
    </row>
    <row r="35" spans="1:28" ht="15" thickBot="1" x14ac:dyDescent="0.25">
      <c r="A35" s="476"/>
      <c r="B35" s="478"/>
      <c r="C35" s="478"/>
      <c r="D35" s="480"/>
      <c r="E35" s="483"/>
      <c r="F35" s="577"/>
      <c r="G35" s="472"/>
      <c r="H35" s="471"/>
      <c r="I35" s="472"/>
      <c r="J35" s="526"/>
      <c r="K35" s="527"/>
      <c r="M35" s="81"/>
      <c r="N35" s="72">
        <v>10</v>
      </c>
      <c r="O35" s="72">
        <v>0</v>
      </c>
      <c r="P35" s="72">
        <f>(N35-O35)</f>
        <v>10</v>
      </c>
      <c r="Q35" s="81"/>
      <c r="R35" s="72">
        <v>8</v>
      </c>
      <c r="S35" s="72">
        <v>0</v>
      </c>
      <c r="T35" s="72">
        <f>(R35-S35)</f>
        <v>8</v>
      </c>
      <c r="Z35" s="4" t="s">
        <v>21</v>
      </c>
      <c r="AA35" s="40">
        <f>(O35)*10</f>
        <v>0</v>
      </c>
      <c r="AB35" s="41">
        <f>(10*AA35)/10</f>
        <v>0</v>
      </c>
    </row>
    <row r="36" spans="1:28" x14ac:dyDescent="0.2">
      <c r="A36" s="475" t="s">
        <v>63</v>
      </c>
      <c r="B36" s="477">
        <f>100-AB35</f>
        <v>100</v>
      </c>
      <c r="C36" s="477">
        <f>100-AB34</f>
        <v>100</v>
      </c>
      <c r="D36" s="479"/>
      <c r="E36" s="482">
        <f>SUM(B36:D37)-100</f>
        <v>100</v>
      </c>
      <c r="F36" s="577"/>
      <c r="G36" s="472"/>
      <c r="H36" s="471"/>
      <c r="I36" s="472"/>
      <c r="J36" s="526"/>
      <c r="K36" s="527"/>
      <c r="M36" s="81"/>
      <c r="N36" s="72"/>
      <c r="O36" s="72"/>
      <c r="P36" s="72"/>
      <c r="Q36" s="81"/>
      <c r="R36" s="72"/>
      <c r="S36" s="72"/>
      <c r="T36" s="72"/>
      <c r="Z36" s="65"/>
      <c r="AA36" s="66"/>
      <c r="AB36" s="67"/>
    </row>
    <row r="37" spans="1:28" ht="15.75" customHeight="1" thickBot="1" x14ac:dyDescent="0.25">
      <c r="A37" s="476"/>
      <c r="B37" s="478"/>
      <c r="C37" s="478"/>
      <c r="D37" s="480"/>
      <c r="E37" s="483"/>
      <c r="F37" s="577"/>
      <c r="G37" s="511"/>
      <c r="H37" s="471"/>
      <c r="I37" s="511"/>
      <c r="J37" s="471"/>
      <c r="K37" s="472"/>
      <c r="M37" s="81"/>
      <c r="N37" s="525" t="s">
        <v>170</v>
      </c>
      <c r="O37" s="525"/>
      <c r="P37" s="525"/>
      <c r="Q37" s="25"/>
      <c r="R37" s="525" t="s">
        <v>171</v>
      </c>
      <c r="S37" s="525"/>
      <c r="T37" s="525"/>
      <c r="Z37" s="525" t="s">
        <v>45</v>
      </c>
      <c r="AA37" s="525"/>
      <c r="AB37" s="525"/>
    </row>
    <row r="38" spans="1:28" x14ac:dyDescent="0.2">
      <c r="A38" s="475" t="s">
        <v>169</v>
      </c>
      <c r="B38" s="477">
        <f>100-AB39</f>
        <v>100</v>
      </c>
      <c r="C38" s="477">
        <f>100-AB38</f>
        <v>100</v>
      </c>
      <c r="D38" s="479"/>
      <c r="E38" s="482">
        <f>SUM(B38:D39)-100</f>
        <v>100</v>
      </c>
      <c r="F38" s="577"/>
      <c r="G38" s="511"/>
      <c r="H38" s="471"/>
      <c r="I38" s="511"/>
      <c r="J38" s="471"/>
      <c r="K38" s="472"/>
      <c r="M38" s="81"/>
      <c r="N38" s="72" t="s">
        <v>46</v>
      </c>
      <c r="O38" s="72" t="s">
        <v>14</v>
      </c>
      <c r="P38" s="72" t="s">
        <v>13</v>
      </c>
      <c r="Q38" s="25"/>
      <c r="R38" s="72" t="s">
        <v>46</v>
      </c>
      <c r="S38" s="72" t="s">
        <v>14</v>
      </c>
      <c r="T38" s="72" t="s">
        <v>13</v>
      </c>
      <c r="Z38" s="4" t="s">
        <v>20</v>
      </c>
      <c r="AA38" s="40">
        <f>(S39)*10</f>
        <v>0</v>
      </c>
      <c r="AB38" s="41">
        <f>(10*AA38)/10</f>
        <v>0</v>
      </c>
    </row>
    <row r="39" spans="1:28" ht="15" thickBot="1" x14ac:dyDescent="0.25">
      <c r="A39" s="476"/>
      <c r="B39" s="478"/>
      <c r="C39" s="478"/>
      <c r="D39" s="480"/>
      <c r="E39" s="483"/>
      <c r="F39" s="577"/>
      <c r="G39" s="472"/>
      <c r="H39" s="471"/>
      <c r="I39" s="472"/>
      <c r="J39" s="526"/>
      <c r="K39" s="527"/>
      <c r="M39" s="81"/>
      <c r="N39" s="72">
        <v>1</v>
      </c>
      <c r="O39" s="72">
        <v>0</v>
      </c>
      <c r="P39" s="72">
        <f>(N39-O39)</f>
        <v>1</v>
      </c>
      <c r="Q39" s="81"/>
      <c r="R39" s="72">
        <v>3</v>
      </c>
      <c r="S39" s="72">
        <v>0</v>
      </c>
      <c r="T39" s="72">
        <f>(R39-S39)</f>
        <v>3</v>
      </c>
      <c r="Z39" s="4" t="s">
        <v>21</v>
      </c>
      <c r="AA39" s="40">
        <f>(O39)*10</f>
        <v>0</v>
      </c>
      <c r="AB39" s="41">
        <f>(10*AA39)/10</f>
        <v>0</v>
      </c>
    </row>
    <row r="40" spans="1:28" x14ac:dyDescent="0.2">
      <c r="A40" s="475" t="s">
        <v>19</v>
      </c>
      <c r="B40" s="797">
        <f>(N45)*10</f>
        <v>0</v>
      </c>
      <c r="C40" s="798"/>
      <c r="D40" s="799"/>
      <c r="E40" s="774">
        <f>(B40)</f>
        <v>0</v>
      </c>
      <c r="F40" s="577"/>
      <c r="G40" s="472"/>
      <c r="H40" s="471"/>
      <c r="I40" s="472"/>
      <c r="J40" s="526"/>
      <c r="K40" s="527"/>
      <c r="M40" s="74"/>
      <c r="Q40" s="74"/>
      <c r="Z40" s="4"/>
      <c r="AA40" s="40"/>
      <c r="AB40" s="41"/>
    </row>
    <row r="41" spans="1:28" ht="15" thickBot="1" x14ac:dyDescent="0.25">
      <c r="A41" s="805"/>
      <c r="B41" s="800"/>
      <c r="C41" s="801"/>
      <c r="D41" s="802"/>
      <c r="E41" s="775"/>
      <c r="F41" s="785"/>
      <c r="G41" s="491"/>
      <c r="H41" s="490"/>
      <c r="I41" s="491"/>
      <c r="J41" s="803"/>
      <c r="K41" s="804"/>
      <c r="M41" s="74"/>
      <c r="Q41" s="74"/>
    </row>
    <row r="42" spans="1:28" ht="20.25" customHeight="1" thickBot="1" x14ac:dyDescent="0.25">
      <c r="A42" s="54" t="s">
        <v>82</v>
      </c>
      <c r="B42" s="101">
        <f>SUM(B22:B39)-800</f>
        <v>100</v>
      </c>
      <c r="C42" s="101">
        <f>SUM(C22:C39)-800</f>
        <v>100</v>
      </c>
      <c r="D42" s="55">
        <f>SUM(D22:D29)-300</f>
        <v>100</v>
      </c>
      <c r="E42" s="30"/>
      <c r="F42" s="30"/>
      <c r="G42" s="30"/>
      <c r="H42" s="30"/>
      <c r="I42" s="74"/>
      <c r="X42" s="87"/>
      <c r="Y42" s="87"/>
      <c r="Z42" s="1"/>
      <c r="AA42" s="96"/>
      <c r="AB42" s="96"/>
    </row>
    <row r="43" spans="1:28" x14ac:dyDescent="0.2">
      <c r="A43" s="13"/>
      <c r="B43" s="119"/>
      <c r="C43" s="119"/>
      <c r="D43" s="26"/>
      <c r="E43" s="26"/>
      <c r="F43" s="26"/>
      <c r="G43" s="14"/>
      <c r="M43" s="74"/>
      <c r="Z43" s="1"/>
      <c r="AA43" s="97"/>
      <c r="AB43" s="97"/>
    </row>
    <row r="44" spans="1:28" ht="15" customHeight="1" x14ac:dyDescent="0.2">
      <c r="B44" s="777" t="s">
        <v>19</v>
      </c>
      <c r="C44" s="777"/>
      <c r="D44" s="777"/>
      <c r="E44" s="777"/>
      <c r="F44" s="777"/>
      <c r="G44" s="777"/>
      <c r="H44" s="777"/>
      <c r="I44" s="777"/>
      <c r="J44" s="777"/>
      <c r="M44" s="74"/>
      <c r="N44" s="470" t="s">
        <v>48</v>
      </c>
      <c r="O44" s="470"/>
      <c r="P44" s="470"/>
      <c r="Z44" s="1"/>
      <c r="AA44" s="97"/>
      <c r="AB44" s="97"/>
    </row>
    <row r="45" spans="1:28" ht="15" customHeight="1" x14ac:dyDescent="0.2">
      <c r="B45" s="71" t="s">
        <v>40</v>
      </c>
      <c r="C45" s="71" t="s">
        <v>73</v>
      </c>
      <c r="D45" s="71" t="s">
        <v>121</v>
      </c>
      <c r="E45" s="71" t="s">
        <v>41</v>
      </c>
      <c r="F45" s="71" t="s">
        <v>55</v>
      </c>
      <c r="G45" s="71" t="s">
        <v>42</v>
      </c>
      <c r="H45" s="71" t="s">
        <v>43</v>
      </c>
      <c r="I45" s="71" t="s">
        <v>44</v>
      </c>
      <c r="J45" s="71" t="s">
        <v>45</v>
      </c>
      <c r="M45" s="74"/>
      <c r="N45" s="543">
        <f>SUM(F46+G46+H46+D46+B46+C46+J46)/7</f>
        <v>0</v>
      </c>
      <c r="O45" s="543"/>
      <c r="P45" s="543"/>
      <c r="Z45" s="1"/>
      <c r="AA45" s="97"/>
      <c r="AB45" s="97"/>
    </row>
    <row r="46" spans="1:28" x14ac:dyDescent="0.2">
      <c r="B46" s="61">
        <v>0</v>
      </c>
      <c r="C46" s="61">
        <v>0</v>
      </c>
      <c r="D46" s="61">
        <v>0</v>
      </c>
      <c r="E46" s="61" t="s">
        <v>24</v>
      </c>
      <c r="F46" s="61">
        <v>0</v>
      </c>
      <c r="G46" s="61">
        <v>0</v>
      </c>
      <c r="H46" s="61">
        <v>0</v>
      </c>
      <c r="I46" s="61">
        <v>0</v>
      </c>
      <c r="J46" s="61">
        <v>0</v>
      </c>
      <c r="K46" s="14"/>
      <c r="L46" s="14"/>
      <c r="M46" s="74"/>
      <c r="Z46" s="1"/>
      <c r="AA46" s="97"/>
      <c r="AB46" s="97"/>
    </row>
    <row r="47" spans="1:28" x14ac:dyDescent="0.2">
      <c r="E47" s="26"/>
      <c r="F47" s="14"/>
      <c r="G47" s="14"/>
      <c r="H47" s="14"/>
      <c r="I47" s="14"/>
      <c r="K47" s="14"/>
      <c r="L47" s="14"/>
      <c r="M47" s="74"/>
      <c r="Z47" s="1"/>
      <c r="AA47" s="97"/>
      <c r="AB47" s="97"/>
    </row>
    <row r="48" spans="1:28" x14ac:dyDescent="0.2">
      <c r="A48" s="789" t="s">
        <v>51</v>
      </c>
      <c r="B48" s="790"/>
      <c r="C48" s="790"/>
      <c r="D48" s="790"/>
      <c r="E48" s="791"/>
      <c r="G48" s="792" t="s">
        <v>49</v>
      </c>
      <c r="H48" s="793"/>
      <c r="J48" s="792" t="s">
        <v>74</v>
      </c>
      <c r="K48" s="793"/>
      <c r="L48" s="14"/>
      <c r="M48" s="74"/>
      <c r="Z48" s="1"/>
      <c r="AA48" s="97"/>
      <c r="AB48" s="97"/>
    </row>
    <row r="49" spans="1:28" x14ac:dyDescent="0.2">
      <c r="A49" s="787" t="s">
        <v>122</v>
      </c>
      <c r="B49" s="84" t="s">
        <v>52</v>
      </c>
      <c r="C49" s="84" t="s">
        <v>106</v>
      </c>
      <c r="D49" s="84" t="s">
        <v>62</v>
      </c>
      <c r="E49" s="84" t="s">
        <v>65</v>
      </c>
      <c r="G49" s="70" t="s">
        <v>69</v>
      </c>
      <c r="H49" s="70" t="s">
        <v>50</v>
      </c>
      <c r="J49" s="70" t="s">
        <v>69</v>
      </c>
      <c r="K49" s="70" t="s">
        <v>50</v>
      </c>
      <c r="L49" s="14"/>
      <c r="M49" s="74"/>
      <c r="Z49" s="1"/>
      <c r="AA49" s="97"/>
      <c r="AB49" s="97"/>
    </row>
    <row r="50" spans="1:28" x14ac:dyDescent="0.2">
      <c r="A50" s="788"/>
      <c r="B50" s="70" t="s">
        <v>50</v>
      </c>
      <c r="C50" s="70" t="s">
        <v>50</v>
      </c>
      <c r="D50" s="70" t="s">
        <v>50</v>
      </c>
      <c r="E50" s="70" t="s">
        <v>50</v>
      </c>
      <c r="G50" s="61">
        <v>2</v>
      </c>
      <c r="H50" s="61">
        <v>0</v>
      </c>
      <c r="J50" s="61">
        <v>3</v>
      </c>
      <c r="K50" s="61">
        <v>0</v>
      </c>
      <c r="L50" s="14"/>
      <c r="M50" s="74"/>
      <c r="Z50" s="1"/>
      <c r="AA50" s="97"/>
      <c r="AB50" s="97"/>
    </row>
    <row r="51" spans="1:28" ht="15" customHeight="1" x14ac:dyDescent="0.2">
      <c r="A51" s="61">
        <v>2</v>
      </c>
      <c r="B51" s="61">
        <v>0</v>
      </c>
      <c r="C51" s="61">
        <v>0</v>
      </c>
      <c r="D51" s="61">
        <v>0</v>
      </c>
      <c r="E51" s="61">
        <v>0</v>
      </c>
      <c r="L51" s="14"/>
      <c r="M51" s="74"/>
      <c r="Z51" s="1"/>
      <c r="AA51" s="97"/>
      <c r="AB51" s="97"/>
    </row>
    <row r="52" spans="1:28" ht="15" customHeight="1" x14ac:dyDescent="0.2">
      <c r="M52" s="74"/>
      <c r="Z52" s="1"/>
      <c r="AA52" s="97"/>
      <c r="AB52" s="97"/>
    </row>
    <row r="53" spans="1:28" ht="15" customHeight="1" x14ac:dyDescent="0.2">
      <c r="A53" s="794" t="s">
        <v>18</v>
      </c>
      <c r="B53" s="795"/>
      <c r="C53" s="796"/>
      <c r="D53" s="26"/>
      <c r="E53" s="794" t="s">
        <v>115</v>
      </c>
      <c r="F53" s="795"/>
      <c r="G53" s="796"/>
      <c r="M53" s="74"/>
      <c r="Z53" s="1"/>
      <c r="AA53" s="97"/>
      <c r="AB53" s="97"/>
    </row>
    <row r="54" spans="1:28" x14ac:dyDescent="0.2">
      <c r="A54" s="45" t="s">
        <v>1</v>
      </c>
      <c r="B54" s="45" t="s">
        <v>120</v>
      </c>
      <c r="C54" s="27" t="s">
        <v>117</v>
      </c>
      <c r="D54" s="26"/>
      <c r="E54" s="27" t="s">
        <v>116</v>
      </c>
      <c r="F54" s="27" t="s">
        <v>69</v>
      </c>
      <c r="G54" s="27" t="s">
        <v>117</v>
      </c>
      <c r="K54" s="14"/>
      <c r="L54" s="14"/>
      <c r="M54" s="74"/>
      <c r="Z54" s="1"/>
      <c r="AA54" s="97"/>
      <c r="AB54" s="97"/>
    </row>
    <row r="55" spans="1:28" x14ac:dyDescent="0.2">
      <c r="A55" s="61" t="s">
        <v>75</v>
      </c>
      <c r="B55" s="28" t="s">
        <v>77</v>
      </c>
      <c r="C55" s="61"/>
      <c r="D55" s="26"/>
      <c r="E55" s="43" t="s">
        <v>112</v>
      </c>
      <c r="F55" s="61" t="s">
        <v>172</v>
      </c>
      <c r="G55" s="61"/>
      <c r="K55" s="14"/>
      <c r="L55" s="14"/>
      <c r="M55" s="74"/>
      <c r="Z55" s="1"/>
      <c r="AA55" s="97"/>
      <c r="AB55" s="97"/>
    </row>
    <row r="56" spans="1:28" ht="14.25" customHeight="1" x14ac:dyDescent="0.2">
      <c r="A56" s="61" t="s">
        <v>76</v>
      </c>
      <c r="B56" s="28" t="s">
        <v>78</v>
      </c>
      <c r="C56" s="61"/>
      <c r="D56" s="26"/>
      <c r="E56" s="43" t="s">
        <v>113</v>
      </c>
      <c r="F56" s="61" t="s">
        <v>173</v>
      </c>
      <c r="G56" s="61"/>
      <c r="J56" s="14"/>
      <c r="K56" s="14"/>
      <c r="L56" s="14"/>
      <c r="M56" s="74"/>
      <c r="Z56" s="1"/>
      <c r="AA56" s="97"/>
      <c r="AB56" s="97"/>
    </row>
    <row r="57" spans="1:28" x14ac:dyDescent="0.2">
      <c r="A57" s="61" t="s">
        <v>107</v>
      </c>
      <c r="B57" s="28" t="s">
        <v>78</v>
      </c>
      <c r="C57" s="61"/>
      <c r="D57" s="26"/>
      <c r="E57" s="43" t="s">
        <v>114</v>
      </c>
      <c r="F57" s="61" t="s">
        <v>174</v>
      </c>
      <c r="G57" s="61"/>
      <c r="J57" s="14"/>
      <c r="K57" s="14"/>
      <c r="L57" s="14"/>
      <c r="M57" s="74"/>
      <c r="Z57" s="1"/>
      <c r="AA57" s="97"/>
      <c r="AB57" s="97"/>
    </row>
    <row r="58" spans="1:28" x14ac:dyDescent="0.2">
      <c r="A58" s="61" t="s">
        <v>66</v>
      </c>
      <c r="B58" s="28" t="s">
        <v>79</v>
      </c>
      <c r="C58" s="61"/>
      <c r="D58" s="26"/>
      <c r="E58" s="43" t="s">
        <v>118</v>
      </c>
      <c r="F58" s="61" t="s">
        <v>110</v>
      </c>
      <c r="G58" s="61"/>
      <c r="L58" s="14"/>
      <c r="M58" s="74"/>
      <c r="Z58" s="1"/>
      <c r="AA58" s="97"/>
      <c r="AB58" s="97"/>
    </row>
    <row r="59" spans="1:28" x14ac:dyDescent="0.2">
      <c r="A59" s="61" t="s">
        <v>67</v>
      </c>
      <c r="B59" s="28" t="s">
        <v>78</v>
      </c>
      <c r="C59" s="85"/>
      <c r="D59" s="26"/>
      <c r="E59" s="43" t="s">
        <v>109</v>
      </c>
      <c r="F59" s="61" t="s">
        <v>119</v>
      </c>
      <c r="G59" s="85"/>
      <c r="L59" s="14"/>
      <c r="M59" s="74"/>
      <c r="Z59" s="1"/>
      <c r="AA59" s="97"/>
      <c r="AB59" s="97"/>
    </row>
    <row r="60" spans="1:28" ht="15.75" customHeight="1" x14ac:dyDescent="0.2">
      <c r="A60" s="61" t="s">
        <v>68</v>
      </c>
      <c r="B60" s="28" t="s">
        <v>136</v>
      </c>
      <c r="C60" s="61"/>
      <c r="D60" s="26"/>
      <c r="F60" s="92"/>
      <c r="G60" s="93"/>
      <c r="Z60" s="1"/>
      <c r="AA60" s="97"/>
      <c r="AB60" s="97"/>
    </row>
    <row r="61" spans="1:28" ht="14.25" customHeight="1" thickBot="1" x14ac:dyDescent="0.25">
      <c r="Q61" s="31"/>
    </row>
    <row r="62" spans="1:28" ht="14.25" customHeight="1" thickBot="1" x14ac:dyDescent="0.25">
      <c r="A62" s="771" t="s">
        <v>175</v>
      </c>
      <c r="B62" s="771"/>
      <c r="C62" s="771"/>
      <c r="D62" s="782">
        <f>(K82+K96+C104)/3</f>
        <v>33.333333333333336</v>
      </c>
      <c r="E62" s="782"/>
      <c r="G62" s="808" t="s">
        <v>194</v>
      </c>
      <c r="H62" s="809"/>
      <c r="I62" s="809"/>
      <c r="J62" s="809"/>
      <c r="K62" s="809"/>
      <c r="L62" s="810"/>
      <c r="Q62" s="31"/>
    </row>
    <row r="63" spans="1:28" ht="14.25" customHeight="1" thickBot="1" x14ac:dyDescent="0.25">
      <c r="A63" s="771"/>
      <c r="B63" s="771"/>
      <c r="C63" s="771"/>
      <c r="D63" s="782"/>
      <c r="E63" s="782"/>
      <c r="G63" s="811"/>
      <c r="H63" s="812"/>
      <c r="I63" s="812"/>
      <c r="J63" s="812"/>
      <c r="K63" s="812"/>
      <c r="L63" s="813"/>
      <c r="M63" s="66"/>
    </row>
    <row r="64" spans="1:28" ht="14.25" customHeight="1" x14ac:dyDescent="0.2">
      <c r="E64" s="66"/>
      <c r="L64" s="31"/>
      <c r="M64" s="31"/>
      <c r="N64" s="31"/>
      <c r="O64" s="31"/>
      <c r="P64" s="31"/>
    </row>
    <row r="65" spans="1:28" ht="29.25" customHeight="1" x14ac:dyDescent="0.2">
      <c r="A65" s="455" t="s">
        <v>38</v>
      </c>
      <c r="B65" s="455"/>
      <c r="C65" s="455"/>
      <c r="D65" s="455"/>
      <c r="E65" s="455"/>
      <c r="F65" s="455"/>
      <c r="G65" s="455"/>
      <c r="H65" s="455"/>
      <c r="I65" s="455"/>
      <c r="J65" s="455"/>
      <c r="K65" s="46"/>
      <c r="L65" s="46"/>
      <c r="M65" s="14"/>
      <c r="N65" s="14"/>
      <c r="O65" s="14"/>
      <c r="P65" s="14"/>
      <c r="Y65" s="47"/>
    </row>
    <row r="66" spans="1:28" ht="42.75" customHeight="1" x14ac:dyDescent="0.2">
      <c r="A66" s="455" t="s">
        <v>39</v>
      </c>
      <c r="B66" s="455"/>
      <c r="C66" s="455"/>
      <c r="D66" s="455"/>
      <c r="E66" s="455"/>
      <c r="F66" s="455"/>
      <c r="G66" s="455"/>
      <c r="H66" s="455"/>
      <c r="I66" s="455"/>
      <c r="J66" s="455"/>
      <c r="K66" s="81"/>
      <c r="L66" s="81"/>
      <c r="Y66" s="47"/>
    </row>
    <row r="67" spans="1:28" s="72" customFormat="1" ht="30.75" customHeight="1" x14ac:dyDescent="0.2">
      <c r="A67" s="455" t="s">
        <v>28</v>
      </c>
      <c r="B67" s="455"/>
      <c r="C67" s="455"/>
      <c r="D67" s="455"/>
      <c r="E67" s="455"/>
      <c r="F67" s="455"/>
      <c r="G67" s="455"/>
      <c r="H67" s="455"/>
      <c r="I67" s="455"/>
      <c r="J67" s="455"/>
      <c r="K67" s="75"/>
      <c r="L67" s="75"/>
      <c r="Z67" s="66"/>
      <c r="AA67" s="86"/>
      <c r="AB67" s="86"/>
    </row>
    <row r="68" spans="1:28" ht="30" customHeight="1" x14ac:dyDescent="0.2">
      <c r="A68" s="455" t="s">
        <v>29</v>
      </c>
      <c r="B68" s="455"/>
      <c r="C68" s="455"/>
      <c r="D68" s="455"/>
      <c r="E68" s="455"/>
      <c r="F68" s="455"/>
      <c r="G68" s="455"/>
      <c r="H68" s="455"/>
      <c r="I68" s="455"/>
      <c r="J68" s="455"/>
      <c r="K68" s="81"/>
      <c r="L68" s="81"/>
    </row>
    <row r="69" spans="1:28" x14ac:dyDescent="0.2">
      <c r="A69" s="75"/>
      <c r="B69" s="75"/>
      <c r="C69" s="75"/>
      <c r="D69" s="75"/>
      <c r="E69" s="75"/>
      <c r="F69" s="75"/>
      <c r="G69" s="75"/>
      <c r="H69" s="75"/>
      <c r="I69" s="75"/>
      <c r="J69" s="75"/>
      <c r="K69" s="81"/>
      <c r="L69" s="81"/>
    </row>
    <row r="70" spans="1:28" ht="14.25" customHeight="1" x14ac:dyDescent="0.2">
      <c r="C70" s="88"/>
      <c r="D70" s="88"/>
      <c r="E70" s="458" t="s">
        <v>5</v>
      </c>
      <c r="F70" s="458"/>
      <c r="G70" s="458"/>
      <c r="H70" s="88"/>
      <c r="I70" s="88"/>
      <c r="L70" s="31"/>
      <c r="M70" s="31"/>
      <c r="N70" s="31"/>
      <c r="O70" s="31"/>
      <c r="P70" s="31"/>
    </row>
    <row r="71" spans="1:28" ht="14.25" customHeight="1" x14ac:dyDescent="0.2">
      <c r="E71" s="458"/>
      <c r="F71" s="458"/>
      <c r="G71" s="458"/>
      <c r="L71" s="31"/>
      <c r="M71" s="31"/>
      <c r="N71" s="31"/>
      <c r="O71" s="31"/>
      <c r="P71" s="31"/>
    </row>
    <row r="72" spans="1:28" ht="14.25" customHeight="1" x14ac:dyDescent="0.2">
      <c r="E72" s="66"/>
      <c r="L72" s="31"/>
      <c r="M72" s="31"/>
      <c r="N72" s="31"/>
      <c r="O72" s="31"/>
      <c r="P72" s="31"/>
    </row>
    <row r="73" spans="1:28" ht="28.5" x14ac:dyDescent="0.2">
      <c r="A73" s="11" t="s">
        <v>11</v>
      </c>
      <c r="B73" s="12" t="s">
        <v>6</v>
      </c>
      <c r="C73" s="12" t="s">
        <v>7</v>
      </c>
      <c r="D73" s="12" t="s">
        <v>8</v>
      </c>
      <c r="E73" s="12" t="s">
        <v>9</v>
      </c>
      <c r="F73" s="12" t="s">
        <v>10</v>
      </c>
      <c r="G73" s="29" t="s">
        <v>80</v>
      </c>
      <c r="H73" s="29" t="s">
        <v>81</v>
      </c>
      <c r="I73" s="29" t="s">
        <v>123</v>
      </c>
      <c r="J73" s="29" t="s">
        <v>69</v>
      </c>
      <c r="K73" s="29" t="s">
        <v>177</v>
      </c>
      <c r="L73" s="31"/>
      <c r="M73" s="31"/>
      <c r="N73" s="31"/>
      <c r="O73" s="31"/>
      <c r="P73" s="31"/>
    </row>
    <row r="74" spans="1:28" x14ac:dyDescent="0.2">
      <c r="A74" s="6" t="s">
        <v>124</v>
      </c>
      <c r="B74" s="33"/>
      <c r="C74" s="33"/>
      <c r="D74" s="33"/>
      <c r="E74" s="33"/>
      <c r="F74" s="33"/>
      <c r="G74" s="38">
        <f t="shared" ref="G74:G81" si="0">SUM(B74:F74)/5</f>
        <v>0</v>
      </c>
      <c r="H74" s="38">
        <v>0.39</v>
      </c>
      <c r="I74" s="38">
        <f>H74-G74</f>
        <v>0.39</v>
      </c>
      <c r="J74" s="38"/>
      <c r="K74" s="38"/>
      <c r="L74" s="31"/>
      <c r="M74" s="31"/>
      <c r="N74" s="31"/>
      <c r="O74" s="31"/>
      <c r="P74" s="31"/>
    </row>
    <row r="75" spans="1:28" ht="14.25" customHeight="1" x14ac:dyDescent="0.2">
      <c r="A75" s="6" t="s">
        <v>33</v>
      </c>
      <c r="B75" s="33"/>
      <c r="C75" s="33"/>
      <c r="D75" s="33"/>
      <c r="E75" s="33"/>
      <c r="F75" s="33"/>
      <c r="G75" s="38">
        <f t="shared" si="0"/>
        <v>0</v>
      </c>
      <c r="H75" s="38">
        <v>2.9820000000000002</v>
      </c>
      <c r="I75" s="38">
        <f>H75-G75</f>
        <v>2.9820000000000002</v>
      </c>
      <c r="J75" s="38"/>
      <c r="K75" s="38"/>
      <c r="L75" s="31"/>
      <c r="M75" s="31"/>
      <c r="N75" s="31"/>
      <c r="O75" s="31"/>
      <c r="P75" s="31"/>
    </row>
    <row r="76" spans="1:28" ht="14.25" customHeight="1" x14ac:dyDescent="0.2">
      <c r="A76" s="6" t="s">
        <v>32</v>
      </c>
      <c r="B76" s="33"/>
      <c r="C76" s="33"/>
      <c r="D76" s="33"/>
      <c r="E76" s="33"/>
      <c r="F76" s="33"/>
      <c r="G76" s="38">
        <f t="shared" si="0"/>
        <v>0</v>
      </c>
      <c r="H76" s="61">
        <v>3.4659999999999997</v>
      </c>
      <c r="I76" s="38">
        <f t="shared" ref="I76:I81" si="1">H76-G76</f>
        <v>3.4659999999999997</v>
      </c>
      <c r="J76" s="38"/>
      <c r="K76" s="38"/>
      <c r="L76" s="31"/>
      <c r="M76" s="31"/>
      <c r="N76" s="31"/>
      <c r="O76" s="31"/>
      <c r="P76" s="31"/>
    </row>
    <row r="77" spans="1:28" ht="14.25" customHeight="1" x14ac:dyDescent="0.2">
      <c r="A77" s="7" t="s">
        <v>34</v>
      </c>
      <c r="B77" s="34"/>
      <c r="C77" s="34"/>
      <c r="D77" s="34"/>
      <c r="E77" s="34"/>
      <c r="F77" s="34"/>
      <c r="G77" s="38">
        <f t="shared" si="0"/>
        <v>0</v>
      </c>
      <c r="H77" s="28">
        <v>2.7699999999999996</v>
      </c>
      <c r="I77" s="38">
        <f t="shared" si="1"/>
        <v>2.7699999999999996</v>
      </c>
      <c r="J77" s="38"/>
      <c r="K77" s="38"/>
      <c r="L77" s="31"/>
      <c r="M77" s="31"/>
      <c r="N77" s="31"/>
      <c r="O77" s="31"/>
      <c r="P77" s="31"/>
    </row>
    <row r="78" spans="1:28" ht="14.25" customHeight="1" x14ac:dyDescent="0.2">
      <c r="A78" s="7" t="s">
        <v>35</v>
      </c>
      <c r="B78" s="34"/>
      <c r="C78" s="8"/>
      <c r="D78" s="8"/>
      <c r="E78" s="8"/>
      <c r="F78" s="8"/>
      <c r="G78" s="38">
        <f t="shared" si="0"/>
        <v>0</v>
      </c>
      <c r="H78" s="28">
        <v>6.9580000000000002</v>
      </c>
      <c r="I78" s="38">
        <f t="shared" si="1"/>
        <v>6.9580000000000002</v>
      </c>
      <c r="J78" s="38"/>
      <c r="K78" s="38"/>
      <c r="L78" s="31"/>
      <c r="M78" s="31"/>
      <c r="N78" s="31"/>
      <c r="O78" s="31"/>
      <c r="P78" s="31"/>
    </row>
    <row r="79" spans="1:28" ht="14.25" customHeight="1" x14ac:dyDescent="0.2">
      <c r="A79" s="9" t="s">
        <v>37</v>
      </c>
      <c r="B79" s="35"/>
      <c r="C79" s="35"/>
      <c r="D79" s="35"/>
      <c r="E79" s="35"/>
      <c r="F79" s="35"/>
      <c r="G79" s="38">
        <f t="shared" si="0"/>
        <v>0</v>
      </c>
      <c r="H79" s="32">
        <v>2</v>
      </c>
      <c r="I79" s="38">
        <f t="shared" si="1"/>
        <v>2</v>
      </c>
      <c r="J79" s="38"/>
      <c r="K79" s="38"/>
      <c r="L79" s="31"/>
      <c r="M79" s="31"/>
      <c r="N79" s="31"/>
      <c r="O79" s="31"/>
      <c r="P79" s="31"/>
    </row>
    <row r="80" spans="1:28" ht="14.25" customHeight="1" x14ac:dyDescent="0.2">
      <c r="A80" s="10" t="s">
        <v>17</v>
      </c>
      <c r="B80" s="36"/>
      <c r="C80" s="37"/>
      <c r="D80" s="37"/>
      <c r="E80" s="37"/>
      <c r="F80" s="37"/>
      <c r="G80" s="38">
        <f t="shared" si="0"/>
        <v>0</v>
      </c>
      <c r="H80" s="28">
        <v>2.6</v>
      </c>
      <c r="I80" s="38">
        <f t="shared" si="1"/>
        <v>2.6</v>
      </c>
      <c r="J80" s="38"/>
      <c r="K80" s="38"/>
      <c r="L80" s="31"/>
      <c r="M80" s="31"/>
      <c r="N80" s="31"/>
      <c r="O80" s="31"/>
      <c r="P80" s="31"/>
    </row>
    <row r="81" spans="1:21" ht="14.25" customHeight="1" thickBot="1" x14ac:dyDescent="0.25">
      <c r="A81" s="10" t="s">
        <v>36</v>
      </c>
      <c r="B81" s="36"/>
      <c r="C81" s="37"/>
      <c r="D81" s="37"/>
      <c r="E81" s="37"/>
      <c r="F81" s="37"/>
      <c r="G81" s="38">
        <f t="shared" si="0"/>
        <v>0</v>
      </c>
      <c r="H81" s="28">
        <v>47.938000000000002</v>
      </c>
      <c r="I81" s="38">
        <f t="shared" si="1"/>
        <v>47.938000000000002</v>
      </c>
      <c r="J81" s="38"/>
      <c r="K81" s="38"/>
      <c r="L81" s="31"/>
      <c r="M81" s="31"/>
      <c r="N81" s="31"/>
      <c r="O81" s="31"/>
      <c r="P81" s="31"/>
    </row>
    <row r="82" spans="1:21" ht="14.25" customHeight="1" thickBot="1" x14ac:dyDescent="0.25">
      <c r="J82" s="54" t="s">
        <v>131</v>
      </c>
      <c r="K82" s="60"/>
      <c r="L82" s="31"/>
      <c r="M82" s="31"/>
      <c r="N82" s="31"/>
      <c r="O82" s="31"/>
      <c r="P82" s="31"/>
    </row>
    <row r="83" spans="1:21" ht="14.25" customHeight="1" x14ac:dyDescent="0.2">
      <c r="E83" s="66"/>
      <c r="L83" s="31"/>
      <c r="M83" s="31"/>
      <c r="N83" s="31"/>
      <c r="O83" s="31"/>
      <c r="P83" s="31"/>
    </row>
    <row r="84" spans="1:21" ht="14.25" customHeight="1" x14ac:dyDescent="0.2">
      <c r="A84" s="807" t="s">
        <v>181</v>
      </c>
      <c r="B84" s="778" t="s">
        <v>179</v>
      </c>
      <c r="C84" s="778"/>
      <c r="D84" s="778"/>
      <c r="E84" s="806" t="s">
        <v>180</v>
      </c>
      <c r="F84" s="806"/>
      <c r="G84" s="806"/>
      <c r="H84" s="806"/>
      <c r="I84" s="806"/>
      <c r="J84" s="806"/>
      <c r="K84" s="806"/>
      <c r="L84" s="31"/>
      <c r="M84" s="31"/>
      <c r="N84" s="538" t="s">
        <v>178</v>
      </c>
      <c r="O84" s="538"/>
      <c r="P84" s="538"/>
    </row>
    <row r="85" spans="1:21" ht="14.25" customHeight="1" x14ac:dyDescent="0.2">
      <c r="A85" s="807"/>
      <c r="B85" s="778"/>
      <c r="C85" s="778"/>
      <c r="D85" s="778"/>
      <c r="E85" s="806"/>
      <c r="F85" s="806"/>
      <c r="G85" s="806"/>
      <c r="H85" s="806"/>
      <c r="I85" s="806"/>
      <c r="J85" s="806"/>
      <c r="K85" s="806"/>
      <c r="L85" s="31"/>
      <c r="M85" s="31"/>
      <c r="N85" s="484">
        <v>0</v>
      </c>
      <c r="O85" s="484"/>
      <c r="P85" s="61">
        <f>(20*N85)</f>
        <v>0</v>
      </c>
    </row>
    <row r="86" spans="1:21" ht="14.25" customHeight="1" x14ac:dyDescent="0.2">
      <c r="A86" s="807"/>
      <c r="B86" s="783"/>
      <c r="C86" s="783"/>
      <c r="D86" s="783"/>
      <c r="E86" s="783"/>
      <c r="F86" s="783"/>
      <c r="G86" s="783"/>
      <c r="H86" s="783"/>
      <c r="I86" s="783"/>
      <c r="J86" s="783"/>
      <c r="K86" s="783"/>
      <c r="L86" s="31"/>
      <c r="M86" s="31"/>
      <c r="N86" s="99"/>
      <c r="O86" s="99"/>
      <c r="P86" s="99"/>
    </row>
    <row r="87" spans="1:21" ht="14.25" customHeight="1" x14ac:dyDescent="0.2">
      <c r="A87" s="807"/>
      <c r="B87" s="783"/>
      <c r="C87" s="783"/>
      <c r="D87" s="783"/>
      <c r="E87" s="783"/>
      <c r="F87" s="783"/>
      <c r="G87" s="783"/>
      <c r="H87" s="783"/>
      <c r="I87" s="783"/>
      <c r="J87" s="783"/>
      <c r="K87" s="783"/>
      <c r="L87" s="31"/>
      <c r="M87" s="31"/>
      <c r="N87" s="31"/>
      <c r="O87" s="31"/>
      <c r="P87" s="31"/>
    </row>
    <row r="88" spans="1:21" ht="14.25" customHeight="1" x14ac:dyDescent="0.2">
      <c r="A88" s="807"/>
      <c r="B88" s="783"/>
      <c r="C88" s="783"/>
      <c r="D88" s="783"/>
      <c r="E88" s="783"/>
      <c r="F88" s="783"/>
      <c r="G88" s="783"/>
      <c r="H88" s="783"/>
      <c r="I88" s="783"/>
      <c r="J88" s="783"/>
      <c r="K88" s="783"/>
      <c r="L88" s="31"/>
      <c r="M88" s="31"/>
      <c r="N88" s="31"/>
      <c r="O88" s="31"/>
      <c r="P88" s="31"/>
    </row>
    <row r="89" spans="1:21" ht="14.25" customHeight="1" x14ac:dyDescent="0.2">
      <c r="A89" s="807"/>
      <c r="B89" s="783"/>
      <c r="C89" s="783"/>
      <c r="D89" s="783"/>
      <c r="E89" s="783"/>
      <c r="F89" s="783"/>
      <c r="G89" s="783"/>
      <c r="H89" s="783"/>
      <c r="I89" s="783"/>
      <c r="J89" s="783"/>
      <c r="K89" s="783"/>
      <c r="L89" s="31"/>
      <c r="M89" s="31"/>
      <c r="N89" s="31"/>
      <c r="O89" s="31"/>
      <c r="P89" s="31"/>
    </row>
    <row r="90" spans="1:21" ht="14.25" customHeight="1" x14ac:dyDescent="0.2">
      <c r="A90" s="807"/>
      <c r="B90" s="783"/>
      <c r="C90" s="783"/>
      <c r="D90" s="783"/>
      <c r="E90" s="783"/>
      <c r="F90" s="783"/>
      <c r="G90" s="783"/>
      <c r="H90" s="783"/>
      <c r="I90" s="783"/>
      <c r="J90" s="783"/>
      <c r="K90" s="783"/>
      <c r="L90" s="31"/>
      <c r="M90" s="31"/>
      <c r="N90" s="31"/>
      <c r="O90" s="31"/>
      <c r="P90" s="31"/>
    </row>
    <row r="91" spans="1:21" ht="14.25" customHeight="1" x14ac:dyDescent="0.2">
      <c r="A91" s="807"/>
      <c r="B91" s="783"/>
      <c r="C91" s="783"/>
      <c r="D91" s="783"/>
      <c r="E91" s="783"/>
      <c r="F91" s="783"/>
      <c r="G91" s="783"/>
      <c r="H91" s="783"/>
      <c r="I91" s="783"/>
      <c r="J91" s="783"/>
      <c r="K91" s="783"/>
      <c r="L91" s="31"/>
      <c r="M91" s="31"/>
      <c r="N91" s="31"/>
      <c r="O91" s="31"/>
      <c r="P91" s="31"/>
    </row>
    <row r="92" spans="1:21" ht="14.25" customHeight="1" x14ac:dyDescent="0.2">
      <c r="A92" s="807"/>
      <c r="B92" s="783"/>
      <c r="C92" s="783"/>
      <c r="D92" s="783"/>
      <c r="E92" s="783"/>
      <c r="F92" s="783"/>
      <c r="G92" s="783"/>
      <c r="H92" s="783"/>
      <c r="I92" s="783"/>
      <c r="J92" s="783"/>
      <c r="K92" s="783"/>
      <c r="L92" s="31"/>
      <c r="M92" s="31"/>
    </row>
    <row r="93" spans="1:21" ht="14.25" customHeight="1" x14ac:dyDescent="0.2">
      <c r="A93" s="807"/>
      <c r="B93" s="783"/>
      <c r="C93" s="783"/>
      <c r="D93" s="783"/>
      <c r="E93" s="783"/>
      <c r="F93" s="783"/>
      <c r="G93" s="783"/>
      <c r="H93" s="783"/>
      <c r="I93" s="783"/>
      <c r="J93" s="783"/>
      <c r="K93" s="783"/>
      <c r="L93" s="31"/>
      <c r="M93" s="31"/>
      <c r="Q93" s="31"/>
    </row>
    <row r="94" spans="1:21" ht="14.25" customHeight="1" x14ac:dyDescent="0.2">
      <c r="A94" s="807"/>
      <c r="B94" s="783"/>
      <c r="C94" s="783"/>
      <c r="D94" s="783"/>
      <c r="E94" s="783"/>
      <c r="F94" s="783"/>
      <c r="G94" s="783"/>
      <c r="H94" s="783"/>
      <c r="I94" s="783"/>
      <c r="J94" s="783"/>
      <c r="K94" s="783"/>
    </row>
    <row r="95" spans="1:21" x14ac:dyDescent="0.2">
      <c r="A95" s="807"/>
      <c r="B95" s="783"/>
      <c r="C95" s="783"/>
      <c r="D95" s="783"/>
      <c r="E95" s="783"/>
      <c r="F95" s="783"/>
      <c r="G95" s="783"/>
      <c r="H95" s="783"/>
      <c r="I95" s="783"/>
      <c r="J95" s="783"/>
      <c r="K95" s="783"/>
    </row>
    <row r="96" spans="1:21" ht="14.25" customHeight="1" thickBot="1" x14ac:dyDescent="0.25">
      <c r="J96" s="89" t="s">
        <v>131</v>
      </c>
      <c r="K96" s="98">
        <f>(100-P85)</f>
        <v>100</v>
      </c>
      <c r="U96" s="66"/>
    </row>
    <row r="97" spans="1:16" ht="14.25" customHeight="1" x14ac:dyDescent="0.2">
      <c r="K97" s="72"/>
    </row>
    <row r="98" spans="1:16" ht="14.25" customHeight="1" x14ac:dyDescent="0.2">
      <c r="A98" s="794" t="s">
        <v>182</v>
      </c>
      <c r="B98" s="795"/>
      <c r="C98" s="796"/>
      <c r="K98" s="72"/>
      <c r="N98" s="538" t="s">
        <v>182</v>
      </c>
      <c r="O98" s="538"/>
      <c r="P98" s="538"/>
    </row>
    <row r="99" spans="1:16" ht="14.25" customHeight="1" x14ac:dyDescent="0.2">
      <c r="A99" s="780" t="s">
        <v>1</v>
      </c>
      <c r="B99" s="781"/>
      <c r="C99" s="27" t="s">
        <v>117</v>
      </c>
      <c r="K99" s="72"/>
      <c r="N99" s="484">
        <v>0</v>
      </c>
      <c r="O99" s="484"/>
      <c r="P99" s="61">
        <f>(25*N99)</f>
        <v>0</v>
      </c>
    </row>
    <row r="100" spans="1:16" ht="14.25" customHeight="1" x14ac:dyDescent="0.2">
      <c r="A100" s="544" t="s">
        <v>183</v>
      </c>
      <c r="B100" s="545"/>
      <c r="C100" s="61"/>
      <c r="K100" s="72"/>
    </row>
    <row r="101" spans="1:16" ht="14.25" customHeight="1" x14ac:dyDescent="0.2">
      <c r="A101" s="544" t="s">
        <v>184</v>
      </c>
      <c r="B101" s="545"/>
      <c r="C101" s="61"/>
      <c r="K101" s="72"/>
    </row>
    <row r="102" spans="1:16" ht="14.25" customHeight="1" x14ac:dyDescent="0.2">
      <c r="A102" s="544" t="s">
        <v>185</v>
      </c>
      <c r="B102" s="545"/>
      <c r="C102" s="61"/>
      <c r="K102" s="72"/>
    </row>
    <row r="103" spans="1:16" ht="14.25" customHeight="1" thickBot="1" x14ac:dyDescent="0.25">
      <c r="A103" s="544" t="s">
        <v>186</v>
      </c>
      <c r="B103" s="545"/>
      <c r="C103" s="61"/>
      <c r="K103" s="72"/>
    </row>
    <row r="104" spans="1:16" ht="14.25" customHeight="1" thickBot="1" x14ac:dyDescent="0.25">
      <c r="A104" s="13"/>
      <c r="B104" s="91" t="s">
        <v>131</v>
      </c>
      <c r="C104" s="90">
        <f>(P99)</f>
        <v>0</v>
      </c>
      <c r="K104" s="72"/>
    </row>
    <row r="105" spans="1:16" ht="14.25" customHeight="1" thickBot="1" x14ac:dyDescent="0.25">
      <c r="K105" s="72"/>
    </row>
    <row r="106" spans="1:16" ht="14.25" customHeight="1" thickBot="1" x14ac:dyDescent="0.25">
      <c r="A106" s="771" t="s">
        <v>187</v>
      </c>
      <c r="B106" s="771"/>
      <c r="C106" s="771"/>
      <c r="D106" s="782">
        <f>(C111+E110+H110+F113)/4</f>
        <v>25</v>
      </c>
      <c r="E106" s="782"/>
      <c r="G106" s="808" t="s">
        <v>195</v>
      </c>
      <c r="H106" s="809"/>
      <c r="I106" s="809"/>
      <c r="J106" s="809"/>
      <c r="K106" s="809"/>
      <c r="L106" s="810"/>
    </row>
    <row r="107" spans="1:16" ht="14.25" customHeight="1" thickBot="1" x14ac:dyDescent="0.25">
      <c r="A107" s="771"/>
      <c r="B107" s="771"/>
      <c r="C107" s="771"/>
      <c r="D107" s="782"/>
      <c r="E107" s="782"/>
      <c r="G107" s="811"/>
      <c r="H107" s="812"/>
      <c r="I107" s="812"/>
      <c r="J107" s="812"/>
      <c r="K107" s="812"/>
      <c r="L107" s="813"/>
    </row>
    <row r="108" spans="1:16" ht="14.25" customHeight="1" thickBot="1" x14ac:dyDescent="0.25">
      <c r="K108" s="72"/>
    </row>
    <row r="109" spans="1:16" ht="14.25" customHeight="1" thickBot="1" x14ac:dyDescent="0.25">
      <c r="A109" s="776" t="s">
        <v>202</v>
      </c>
      <c r="B109" s="776"/>
      <c r="C109" s="776"/>
      <c r="E109" s="815" t="s">
        <v>126</v>
      </c>
      <c r="F109" s="815"/>
      <c r="H109" s="815" t="s">
        <v>190</v>
      </c>
      <c r="I109" s="815"/>
      <c r="K109" s="72"/>
      <c r="N109" s="538" t="s">
        <v>126</v>
      </c>
      <c r="O109" s="538"/>
      <c r="P109" s="538"/>
    </row>
    <row r="110" spans="1:16" ht="14.25" customHeight="1" thickBot="1" x14ac:dyDescent="0.25">
      <c r="A110" s="776"/>
      <c r="B110" s="776"/>
      <c r="C110" s="776"/>
      <c r="E110" s="816">
        <f>(P110)</f>
        <v>0</v>
      </c>
      <c r="F110" s="817"/>
      <c r="H110" s="816">
        <v>100</v>
      </c>
      <c r="I110" s="817"/>
      <c r="K110" s="72"/>
      <c r="N110" s="484">
        <v>0</v>
      </c>
      <c r="O110" s="484"/>
      <c r="P110" s="61">
        <f>(20*N110)</f>
        <v>0</v>
      </c>
    </row>
    <row r="111" spans="1:16" ht="14.25" customHeight="1" thickBot="1" x14ac:dyDescent="0.25">
      <c r="B111" s="91" t="s">
        <v>131</v>
      </c>
      <c r="C111" s="90">
        <f>(P116)</f>
        <v>0</v>
      </c>
      <c r="K111" s="72"/>
    </row>
    <row r="112" spans="1:16" ht="14.25" customHeight="1" x14ac:dyDescent="0.2">
      <c r="F112" s="818" t="s">
        <v>188</v>
      </c>
      <c r="G112" s="818"/>
      <c r="H112" s="818"/>
      <c r="K112" s="72"/>
      <c r="N112" s="538" t="s">
        <v>188</v>
      </c>
      <c r="O112" s="538"/>
      <c r="P112" s="538"/>
    </row>
    <row r="113" spans="1:16" ht="14.25" customHeight="1" x14ac:dyDescent="0.2">
      <c r="F113" s="819">
        <f>(P113)</f>
        <v>0</v>
      </c>
      <c r="G113" s="819"/>
      <c r="H113" s="819"/>
      <c r="K113" s="72"/>
      <c r="N113" s="484">
        <v>0</v>
      </c>
      <c r="O113" s="484"/>
      <c r="P113" s="61">
        <f>(33.333333333*N113)</f>
        <v>0</v>
      </c>
    </row>
    <row r="114" spans="1:16" ht="14.25" customHeight="1" x14ac:dyDescent="0.2">
      <c r="K114" s="72"/>
    </row>
    <row r="115" spans="1:16" ht="14.25" customHeight="1" thickBot="1" x14ac:dyDescent="0.25">
      <c r="K115" s="72"/>
      <c r="N115" s="538" t="s">
        <v>189</v>
      </c>
      <c r="O115" s="538"/>
      <c r="P115" s="538"/>
    </row>
    <row r="116" spans="1:16" ht="14.25" customHeight="1" thickBot="1" x14ac:dyDescent="0.25">
      <c r="A116" s="771" t="s">
        <v>193</v>
      </c>
      <c r="B116" s="771"/>
      <c r="C116" s="771"/>
      <c r="D116" s="782">
        <v>0</v>
      </c>
      <c r="E116" s="782"/>
      <c r="G116" s="808" t="s">
        <v>196</v>
      </c>
      <c r="H116" s="809"/>
      <c r="I116" s="809"/>
      <c r="J116" s="809"/>
      <c r="K116" s="809"/>
      <c r="L116" s="810"/>
      <c r="N116" s="484">
        <v>0</v>
      </c>
      <c r="O116" s="484"/>
      <c r="P116" s="61">
        <f>(100*N116)</f>
        <v>0</v>
      </c>
    </row>
    <row r="117" spans="1:16" ht="14.25" customHeight="1" thickBot="1" x14ac:dyDescent="0.25">
      <c r="A117" s="771"/>
      <c r="B117" s="771"/>
      <c r="C117" s="771"/>
      <c r="D117" s="782"/>
      <c r="E117" s="782"/>
      <c r="G117" s="811"/>
      <c r="H117" s="812"/>
      <c r="I117" s="812"/>
      <c r="J117" s="812"/>
      <c r="K117" s="812"/>
      <c r="L117" s="813"/>
    </row>
    <row r="118" spans="1:16" ht="14.25" customHeight="1" x14ac:dyDescent="0.2">
      <c r="K118" s="72"/>
    </row>
    <row r="119" spans="1:16" ht="14.25" customHeight="1" x14ac:dyDescent="0.2">
      <c r="C119" s="814" t="s">
        <v>191</v>
      </c>
      <c r="D119" s="814"/>
      <c r="E119" s="814"/>
      <c r="F119" s="814"/>
      <c r="G119" s="814"/>
      <c r="H119" s="814"/>
      <c r="K119" s="72"/>
    </row>
    <row r="120" spans="1:16" ht="14.25" customHeight="1" x14ac:dyDescent="0.2">
      <c r="C120" s="814"/>
      <c r="D120" s="814"/>
      <c r="E120" s="814"/>
      <c r="F120" s="814"/>
      <c r="G120" s="814"/>
      <c r="H120" s="814"/>
      <c r="K120" s="72"/>
    </row>
    <row r="121" spans="1:16" ht="14.25" customHeight="1" x14ac:dyDescent="0.2">
      <c r="F121" s="94"/>
      <c r="G121" s="95"/>
      <c r="K121" s="72"/>
    </row>
    <row r="122" spans="1:16" ht="14.25" customHeight="1" x14ac:dyDescent="0.2">
      <c r="F122" s="94"/>
      <c r="G122" s="95"/>
      <c r="K122" s="72"/>
    </row>
    <row r="123" spans="1:16" ht="14.25" customHeight="1" x14ac:dyDescent="0.2">
      <c r="F123" s="94"/>
      <c r="G123" s="95"/>
      <c r="K123" s="72"/>
    </row>
    <row r="124" spans="1:16" ht="14.25" customHeight="1" x14ac:dyDescent="0.2">
      <c r="F124" s="94"/>
      <c r="G124" s="95"/>
      <c r="K124" s="72"/>
    </row>
    <row r="125" spans="1:16" ht="14.25" customHeight="1" x14ac:dyDescent="0.2">
      <c r="F125" s="94"/>
      <c r="G125" s="95"/>
      <c r="K125" s="72"/>
    </row>
    <row r="126" spans="1:16" ht="14.25" customHeight="1" x14ac:dyDescent="0.2">
      <c r="F126" s="94"/>
      <c r="G126" s="95"/>
      <c r="K126" s="72"/>
    </row>
    <row r="127" spans="1:16" ht="14.25" customHeight="1" x14ac:dyDescent="0.2">
      <c r="F127" s="94"/>
      <c r="G127" s="95"/>
      <c r="K127" s="72"/>
    </row>
    <row r="128" spans="1:16" ht="14.25" customHeight="1" x14ac:dyDescent="0.2">
      <c r="F128" s="94"/>
      <c r="G128" s="95"/>
      <c r="K128" s="72"/>
    </row>
    <row r="129" spans="1:24" ht="14.25" customHeight="1" x14ac:dyDescent="0.2">
      <c r="F129" s="94"/>
      <c r="G129" s="95"/>
      <c r="K129" s="72"/>
    </row>
    <row r="130" spans="1:24" ht="14.25" customHeight="1" x14ac:dyDescent="0.2">
      <c r="K130" s="72"/>
    </row>
    <row r="131" spans="1:24" ht="14.25" customHeight="1" x14ac:dyDescent="0.2">
      <c r="K131" s="72"/>
    </row>
    <row r="132" spans="1:24" ht="14.25" customHeight="1" x14ac:dyDescent="0.2">
      <c r="K132" s="72"/>
    </row>
    <row r="133" spans="1:24" ht="14.25" customHeight="1" x14ac:dyDescent="0.2">
      <c r="K133" s="72"/>
    </row>
    <row r="134" spans="1:24" ht="14.25" customHeight="1" x14ac:dyDescent="0.2">
      <c r="K134" s="72"/>
    </row>
    <row r="135" spans="1:24" ht="14.25" customHeight="1" x14ac:dyDescent="0.2">
      <c r="K135" s="72"/>
    </row>
    <row r="136" spans="1:24" ht="14.25" customHeight="1" x14ac:dyDescent="0.2">
      <c r="K136" s="72"/>
    </row>
    <row r="138" spans="1:24" ht="30" x14ac:dyDescent="0.2">
      <c r="A138" s="77"/>
      <c r="B138" s="77"/>
      <c r="C138" s="77"/>
      <c r="D138" s="779" t="s">
        <v>54</v>
      </c>
      <c r="E138" s="779"/>
      <c r="F138" s="779"/>
      <c r="G138" s="779"/>
      <c r="H138" s="77"/>
      <c r="I138" s="77"/>
      <c r="J138" s="77"/>
      <c r="L138" s="77"/>
    </row>
    <row r="139" spans="1:24" ht="18.75" customHeight="1" x14ac:dyDescent="0.2">
      <c r="A139" s="784" t="s">
        <v>23</v>
      </c>
      <c r="B139" s="784"/>
      <c r="C139" s="5"/>
      <c r="E139" s="784" t="s">
        <v>19</v>
      </c>
      <c r="F139" s="784"/>
      <c r="G139" s="5"/>
      <c r="I139" s="784" t="s">
        <v>83</v>
      </c>
      <c r="J139" s="784"/>
      <c r="L139" s="5"/>
      <c r="R139" s="538" t="s">
        <v>18</v>
      </c>
      <c r="S139" s="538"/>
      <c r="T139" s="538"/>
      <c r="U139" s="100"/>
      <c r="V139" s="538" t="s">
        <v>47</v>
      </c>
      <c r="W139" s="538"/>
      <c r="X139" s="538"/>
    </row>
    <row r="140" spans="1:24" ht="18.75" customHeight="1" x14ac:dyDescent="0.2">
      <c r="A140" s="15" t="s">
        <v>56</v>
      </c>
      <c r="B140" s="15" t="s">
        <v>57</v>
      </c>
      <c r="E140" s="15" t="s">
        <v>56</v>
      </c>
      <c r="F140" s="15" t="s">
        <v>57</v>
      </c>
      <c r="I140" s="15" t="s">
        <v>56</v>
      </c>
      <c r="J140" s="15" t="s">
        <v>57</v>
      </c>
      <c r="R140" s="484">
        <v>0</v>
      </c>
      <c r="S140" s="484"/>
      <c r="T140" s="61">
        <f>(16.66666667*R140)</f>
        <v>0</v>
      </c>
      <c r="V140" s="484">
        <v>0</v>
      </c>
      <c r="W140" s="484"/>
      <c r="X140" s="61">
        <f>(16.66666667*V140)</f>
        <v>0</v>
      </c>
    </row>
    <row r="141" spans="1:24" ht="18.75" customHeight="1" x14ac:dyDescent="0.2">
      <c r="A141" s="18">
        <v>0.83</v>
      </c>
      <c r="B141" s="17">
        <f>(X140)/100</f>
        <v>0</v>
      </c>
      <c r="E141" s="18">
        <v>0.86</v>
      </c>
      <c r="F141" s="17">
        <f>(E40)/100</f>
        <v>0</v>
      </c>
      <c r="I141" s="17">
        <v>0.83</v>
      </c>
      <c r="J141" s="17">
        <f>(T140)/100</f>
        <v>0</v>
      </c>
    </row>
    <row r="142" spans="1:24" ht="14.25" customHeight="1" x14ac:dyDescent="0.2">
      <c r="Q142" s="72"/>
    </row>
    <row r="143" spans="1:24" x14ac:dyDescent="0.2">
      <c r="A143" s="19"/>
      <c r="B143" s="19"/>
      <c r="C143" s="19"/>
      <c r="D143" s="19"/>
      <c r="E143" s="19"/>
      <c r="F143" s="19"/>
      <c r="I143" s="19"/>
      <c r="J143" s="19"/>
      <c r="K143" s="19"/>
      <c r="L143" s="19"/>
      <c r="Q143" s="72"/>
    </row>
    <row r="144" spans="1:24" x14ac:dyDescent="0.2">
      <c r="A144" s="520" t="s">
        <v>143</v>
      </c>
      <c r="B144" s="520"/>
      <c r="C144" s="520"/>
      <c r="D144" s="520"/>
      <c r="E144" s="520"/>
      <c r="F144" s="520"/>
      <c r="G144" s="520"/>
      <c r="H144" s="520"/>
      <c r="I144" s="520"/>
      <c r="J144" s="520"/>
      <c r="K144" s="520"/>
      <c r="L144" s="520"/>
      <c r="M144" s="72"/>
      <c r="N144" s="72"/>
      <c r="O144" s="72"/>
      <c r="P144" s="72"/>
      <c r="Q144" s="72"/>
    </row>
    <row r="145" spans="1:16" ht="14.25" customHeight="1" x14ac:dyDescent="0.2">
      <c r="A145" s="524" t="s">
        <v>203</v>
      </c>
      <c r="B145" s="524"/>
      <c r="C145" s="524"/>
      <c r="D145" s="524"/>
      <c r="E145" s="524"/>
      <c r="F145" s="524"/>
      <c r="G145" s="524"/>
      <c r="H145" s="524"/>
      <c r="I145" s="524"/>
      <c r="J145" s="524"/>
      <c r="K145" s="524"/>
      <c r="L145" s="524"/>
      <c r="M145" s="72"/>
      <c r="N145" s="72"/>
      <c r="O145" s="72"/>
      <c r="P145" s="72"/>
    </row>
    <row r="146" spans="1:16" x14ac:dyDescent="0.2">
      <c r="M146" s="72"/>
      <c r="N146" s="72"/>
      <c r="O146" s="72"/>
      <c r="P146" s="72"/>
    </row>
    <row r="147" spans="1:16" x14ac:dyDescent="0.2">
      <c r="B147" s="520" t="s">
        <v>15</v>
      </c>
      <c r="C147" s="520"/>
      <c r="D147" s="520"/>
      <c r="E147" s="520"/>
      <c r="F147" s="520"/>
      <c r="G147" s="520"/>
      <c r="H147" s="520"/>
      <c r="I147" s="520"/>
      <c r="M147" s="72"/>
      <c r="N147" s="72"/>
      <c r="O147" s="72"/>
      <c r="P147" s="72"/>
    </row>
    <row r="148" spans="1:16" ht="15" customHeight="1" x14ac:dyDescent="0.2">
      <c r="B148" s="1" t="s">
        <v>16</v>
      </c>
      <c r="K148" s="72"/>
      <c r="L148" s="72"/>
      <c r="M148" s="72"/>
      <c r="N148" s="72"/>
      <c r="O148" s="72"/>
      <c r="P148" s="72"/>
    </row>
    <row r="153" spans="1:16" x14ac:dyDescent="0.2">
      <c r="A153" s="471"/>
      <c r="B153" s="511"/>
      <c r="C153" s="471"/>
      <c r="D153" s="511"/>
      <c r="E153" s="471"/>
      <c r="F153" s="472"/>
    </row>
    <row r="154" spans="1:16" x14ac:dyDescent="0.2">
      <c r="A154" s="471"/>
      <c r="B154" s="511"/>
      <c r="C154" s="471"/>
      <c r="D154" s="511"/>
      <c r="E154" s="471"/>
      <c r="F154" s="472"/>
    </row>
    <row r="155" spans="1:16" x14ac:dyDescent="0.2">
      <c r="A155" s="471"/>
      <c r="B155" s="511"/>
      <c r="C155" s="471"/>
      <c r="D155" s="511"/>
      <c r="E155" s="471"/>
      <c r="F155" s="472"/>
    </row>
    <row r="156" spans="1:16" x14ac:dyDescent="0.2">
      <c r="A156" s="820"/>
      <c r="B156" s="821"/>
      <c r="C156" s="820"/>
      <c r="D156" s="821"/>
      <c r="E156" s="471"/>
      <c r="F156" s="472"/>
    </row>
    <row r="157" spans="1:16" x14ac:dyDescent="0.2">
      <c r="A157" s="471"/>
      <c r="B157" s="511"/>
      <c r="C157" s="471"/>
      <c r="D157" s="511"/>
      <c r="E157" s="822"/>
      <c r="F157" s="823"/>
    </row>
    <row r="158" spans="1:16" x14ac:dyDescent="0.2">
      <c r="A158" s="471"/>
      <c r="B158" s="511"/>
      <c r="C158" s="471"/>
      <c r="D158" s="511"/>
      <c r="E158" s="471"/>
      <c r="F158" s="472"/>
    </row>
    <row r="159" spans="1:16" x14ac:dyDescent="0.2">
      <c r="A159" s="471"/>
      <c r="B159" s="472"/>
      <c r="C159" s="471"/>
      <c r="D159" s="472"/>
      <c r="E159" s="471"/>
      <c r="F159" s="472"/>
    </row>
    <row r="160" spans="1:16" x14ac:dyDescent="0.2">
      <c r="A160" s="471"/>
      <c r="B160" s="472"/>
      <c r="C160" s="471"/>
      <c r="D160" s="472"/>
      <c r="E160" s="471"/>
      <c r="F160" s="472"/>
    </row>
    <row r="161" spans="1:6" x14ac:dyDescent="0.2">
      <c r="A161" s="471"/>
      <c r="B161" s="511"/>
      <c r="C161" s="471"/>
      <c r="D161" s="511"/>
      <c r="E161" s="471"/>
      <c r="F161" s="472"/>
    </row>
    <row r="162" spans="1:6" x14ac:dyDescent="0.2">
      <c r="A162" s="511"/>
      <c r="B162" s="472"/>
      <c r="C162" s="511"/>
      <c r="D162" s="472"/>
      <c r="E162" s="471"/>
      <c r="F162" s="472"/>
    </row>
    <row r="163" spans="1:6" x14ac:dyDescent="0.2">
      <c r="A163" s="511"/>
      <c r="B163" s="472"/>
      <c r="C163" s="511"/>
      <c r="D163" s="472"/>
      <c r="E163" s="511"/>
      <c r="F163" s="472"/>
    </row>
    <row r="164" spans="1:6" x14ac:dyDescent="0.2">
      <c r="A164" s="511"/>
      <c r="B164" s="472"/>
      <c r="C164" s="511"/>
      <c r="D164" s="472"/>
      <c r="E164" s="471"/>
      <c r="F164" s="472"/>
    </row>
    <row r="165" spans="1:6" x14ac:dyDescent="0.2">
      <c r="A165" s="471"/>
      <c r="B165" s="511"/>
      <c r="C165" s="471"/>
      <c r="D165" s="511"/>
      <c r="E165" s="471"/>
      <c r="F165" s="472"/>
    </row>
    <row r="166" spans="1:6" x14ac:dyDescent="0.2">
      <c r="A166" s="511"/>
      <c r="B166" s="472"/>
      <c r="C166" s="511"/>
      <c r="D166" s="472"/>
      <c r="E166" s="471"/>
      <c r="F166" s="472"/>
    </row>
    <row r="167" spans="1:6" x14ac:dyDescent="0.2">
      <c r="A167" s="526"/>
      <c r="B167" s="527"/>
      <c r="C167" s="526"/>
      <c r="D167" s="527"/>
      <c r="E167" s="471"/>
      <c r="F167" s="472"/>
    </row>
    <row r="168" spans="1:6" x14ac:dyDescent="0.2">
      <c r="A168" s="526"/>
      <c r="B168" s="527"/>
      <c r="C168" s="526"/>
      <c r="D168" s="527"/>
      <c r="E168" s="471"/>
      <c r="F168" s="472"/>
    </row>
    <row r="169" spans="1:6" x14ac:dyDescent="0.2">
      <c r="A169" s="471"/>
      <c r="B169" s="472"/>
      <c r="C169" s="471"/>
      <c r="D169" s="472"/>
      <c r="E169" s="526"/>
      <c r="F169" s="527"/>
    </row>
    <row r="170" spans="1:6" x14ac:dyDescent="0.2">
      <c r="A170" s="490"/>
      <c r="B170" s="491"/>
      <c r="C170" s="490"/>
      <c r="D170" s="491"/>
      <c r="E170" s="824"/>
      <c r="F170" s="491"/>
    </row>
  </sheetData>
  <mergeCells count="284">
    <mergeCell ref="A168:B168"/>
    <mergeCell ref="C168:D168"/>
    <mergeCell ref="E168:F168"/>
    <mergeCell ref="A169:B169"/>
    <mergeCell ref="C169:D169"/>
    <mergeCell ref="E169:F169"/>
    <mergeCell ref="A170:B170"/>
    <mergeCell ref="C170:D170"/>
    <mergeCell ref="E170:F170"/>
    <mergeCell ref="A165:B165"/>
    <mergeCell ref="C165:D165"/>
    <mergeCell ref="E165:F165"/>
    <mergeCell ref="A166:B166"/>
    <mergeCell ref="C166:D166"/>
    <mergeCell ref="E166:F166"/>
    <mergeCell ref="A167:B167"/>
    <mergeCell ref="C167:D167"/>
    <mergeCell ref="E167:F167"/>
    <mergeCell ref="A162:B162"/>
    <mergeCell ref="C162:D162"/>
    <mergeCell ref="E162:F162"/>
    <mergeCell ref="A163:B163"/>
    <mergeCell ref="C163:D163"/>
    <mergeCell ref="E163:F163"/>
    <mergeCell ref="A164:B164"/>
    <mergeCell ref="C164:D164"/>
    <mergeCell ref="E164:F164"/>
    <mergeCell ref="A159:B159"/>
    <mergeCell ref="C159:D159"/>
    <mergeCell ref="E159:F159"/>
    <mergeCell ref="A160:B160"/>
    <mergeCell ref="C160:D160"/>
    <mergeCell ref="E160:F160"/>
    <mergeCell ref="A161:B161"/>
    <mergeCell ref="C161:D161"/>
    <mergeCell ref="E161:F161"/>
    <mergeCell ref="A156:B156"/>
    <mergeCell ref="C156:D156"/>
    <mergeCell ref="E156:F156"/>
    <mergeCell ref="A157:B157"/>
    <mergeCell ref="C157:D157"/>
    <mergeCell ref="E157:F157"/>
    <mergeCell ref="A158:B158"/>
    <mergeCell ref="C158:D158"/>
    <mergeCell ref="E158:F158"/>
    <mergeCell ref="A153:B153"/>
    <mergeCell ref="C153:D153"/>
    <mergeCell ref="E153:F153"/>
    <mergeCell ref="A154:B154"/>
    <mergeCell ref="C154:D154"/>
    <mergeCell ref="E154:F154"/>
    <mergeCell ref="A155:B155"/>
    <mergeCell ref="C155:D155"/>
    <mergeCell ref="E155:F155"/>
    <mergeCell ref="N84:P84"/>
    <mergeCell ref="N85:O85"/>
    <mergeCell ref="N112:P112"/>
    <mergeCell ref="N113:O113"/>
    <mergeCell ref="G18:L19"/>
    <mergeCell ref="G62:L63"/>
    <mergeCell ref="N98:P98"/>
    <mergeCell ref="N99:O99"/>
    <mergeCell ref="C119:H120"/>
    <mergeCell ref="N115:P115"/>
    <mergeCell ref="N116:O116"/>
    <mergeCell ref="G106:L107"/>
    <mergeCell ref="G116:L117"/>
    <mergeCell ref="F21:G21"/>
    <mergeCell ref="H21:I21"/>
    <mergeCell ref="J21:K21"/>
    <mergeCell ref="E109:F109"/>
    <mergeCell ref="E110:F110"/>
    <mergeCell ref="H109:I109"/>
    <mergeCell ref="H110:I110"/>
    <mergeCell ref="F112:H112"/>
    <mergeCell ref="F113:H113"/>
    <mergeCell ref="A116:C117"/>
    <mergeCell ref="D116:E117"/>
    <mergeCell ref="H40:I41"/>
    <mergeCell ref="E84:K85"/>
    <mergeCell ref="E86:K87"/>
    <mergeCell ref="E88:K89"/>
    <mergeCell ref="E90:K91"/>
    <mergeCell ref="E92:K93"/>
    <mergeCell ref="E94:K95"/>
    <mergeCell ref="A84:A95"/>
    <mergeCell ref="A98:C98"/>
    <mergeCell ref="D62:E63"/>
    <mergeCell ref="A65:J65"/>
    <mergeCell ref="J27:K27"/>
    <mergeCell ref="J28:K28"/>
    <mergeCell ref="J29:K29"/>
    <mergeCell ref="J30:K30"/>
    <mergeCell ref="F30:G30"/>
    <mergeCell ref="A62:C63"/>
    <mergeCell ref="A49:A50"/>
    <mergeCell ref="A48:E48"/>
    <mergeCell ref="J48:K48"/>
    <mergeCell ref="G48:H48"/>
    <mergeCell ref="A53:C53"/>
    <mergeCell ref="E53:G53"/>
    <mergeCell ref="B40:D41"/>
    <mergeCell ref="J31:K31"/>
    <mergeCell ref="J32:K32"/>
    <mergeCell ref="J33:K33"/>
    <mergeCell ref="J34:K34"/>
    <mergeCell ref="J35:K35"/>
    <mergeCell ref="J36:K36"/>
    <mergeCell ref="J37:K37"/>
    <mergeCell ref="J38:K38"/>
    <mergeCell ref="J39:K39"/>
    <mergeCell ref="J40:K41"/>
    <mergeCell ref="A40:A41"/>
    <mergeCell ref="H34:I34"/>
    <mergeCell ref="H35:I35"/>
    <mergeCell ref="H36:I36"/>
    <mergeCell ref="H39:I39"/>
    <mergeCell ref="H37:I37"/>
    <mergeCell ref="B28:B29"/>
    <mergeCell ref="B30:B31"/>
    <mergeCell ref="C30:C31"/>
    <mergeCell ref="D30:D31"/>
    <mergeCell ref="E30:E31"/>
    <mergeCell ref="D32:D33"/>
    <mergeCell ref="B32:B33"/>
    <mergeCell ref="C32:C33"/>
    <mergeCell ref="B38:B39"/>
    <mergeCell ref="C38:C39"/>
    <mergeCell ref="D38:D39"/>
    <mergeCell ref="E38:E39"/>
    <mergeCell ref="H38:I38"/>
    <mergeCell ref="F38:G38"/>
    <mergeCell ref="F39:G39"/>
    <mergeCell ref="A38:A39"/>
    <mergeCell ref="A24:A25"/>
    <mergeCell ref="F40:G41"/>
    <mergeCell ref="A34:A35"/>
    <mergeCell ref="A36:A37"/>
    <mergeCell ref="E36:E37"/>
    <mergeCell ref="D36:D37"/>
    <mergeCell ref="C36:C37"/>
    <mergeCell ref="B36:B37"/>
    <mergeCell ref="F36:G36"/>
    <mergeCell ref="F37:G37"/>
    <mergeCell ref="B26:B27"/>
    <mergeCell ref="F31:G31"/>
    <mergeCell ref="F32:G32"/>
    <mergeCell ref="F33:G33"/>
    <mergeCell ref="F34:G34"/>
    <mergeCell ref="F35:G35"/>
    <mergeCell ref="A26:A27"/>
    <mergeCell ref="A28:A29"/>
    <mergeCell ref="A30:A31"/>
    <mergeCell ref="A32:A33"/>
    <mergeCell ref="A145:L145"/>
    <mergeCell ref="B147:I147"/>
    <mergeCell ref="A66:J66"/>
    <mergeCell ref="A67:J67"/>
    <mergeCell ref="A68:J68"/>
    <mergeCell ref="D138:G138"/>
    <mergeCell ref="A99:B99"/>
    <mergeCell ref="A100:B100"/>
    <mergeCell ref="A101:B101"/>
    <mergeCell ref="A102:B102"/>
    <mergeCell ref="A103:B103"/>
    <mergeCell ref="A106:C107"/>
    <mergeCell ref="D106:E107"/>
    <mergeCell ref="B86:D87"/>
    <mergeCell ref="B88:D89"/>
    <mergeCell ref="B90:D91"/>
    <mergeCell ref="B92:D93"/>
    <mergeCell ref="B94:D95"/>
    <mergeCell ref="A139:B139"/>
    <mergeCell ref="E139:F139"/>
    <mergeCell ref="I139:J139"/>
    <mergeCell ref="A144:L144"/>
    <mergeCell ref="V139:X139"/>
    <mergeCell ref="N110:O110"/>
    <mergeCell ref="R140:S140"/>
    <mergeCell ref="V140:W140"/>
    <mergeCell ref="E40:E41"/>
    <mergeCell ref="Z33:AB33"/>
    <mergeCell ref="B34:B35"/>
    <mergeCell ref="C34:C35"/>
    <mergeCell ref="D34:D35"/>
    <mergeCell ref="E34:E35"/>
    <mergeCell ref="E32:E33"/>
    <mergeCell ref="Z32:AA32"/>
    <mergeCell ref="N33:P33"/>
    <mergeCell ref="Z37:AB37"/>
    <mergeCell ref="N37:P37"/>
    <mergeCell ref="R37:T37"/>
    <mergeCell ref="N44:P44"/>
    <mergeCell ref="N45:P45"/>
    <mergeCell ref="A109:C110"/>
    <mergeCell ref="B44:J44"/>
    <mergeCell ref="N109:P109"/>
    <mergeCell ref="R139:T139"/>
    <mergeCell ref="E70:G71"/>
    <mergeCell ref="B84:D85"/>
    <mergeCell ref="R29:T29"/>
    <mergeCell ref="R33:T33"/>
    <mergeCell ref="Z29:AB29"/>
    <mergeCell ref="Z28:AA28"/>
    <mergeCell ref="N29:P29"/>
    <mergeCell ref="C28:C29"/>
    <mergeCell ref="D28:D29"/>
    <mergeCell ref="E28:E29"/>
    <mergeCell ref="E26:E27"/>
    <mergeCell ref="F26:G26"/>
    <mergeCell ref="F27:G27"/>
    <mergeCell ref="F28:G28"/>
    <mergeCell ref="F29:G29"/>
    <mergeCell ref="C26:C27"/>
    <mergeCell ref="D26:D27"/>
    <mergeCell ref="H26:I26"/>
    <mergeCell ref="H27:I27"/>
    <mergeCell ref="H28:I28"/>
    <mergeCell ref="H29:I29"/>
    <mergeCell ref="H30:I30"/>
    <mergeCell ref="H31:I31"/>
    <mergeCell ref="H32:I32"/>
    <mergeCell ref="H33:I33"/>
    <mergeCell ref="J26:K26"/>
    <mergeCell ref="N24:P24"/>
    <mergeCell ref="F25:G25"/>
    <mergeCell ref="B24:B25"/>
    <mergeCell ref="C24:C25"/>
    <mergeCell ref="D24:D25"/>
    <mergeCell ref="E24:E25"/>
    <mergeCell ref="R24:T24"/>
    <mergeCell ref="Z24:AB24"/>
    <mergeCell ref="Z23:AA23"/>
    <mergeCell ref="B22:B23"/>
    <mergeCell ref="C22:C23"/>
    <mergeCell ref="D22:D23"/>
    <mergeCell ref="E22:E23"/>
    <mergeCell ref="H22:I22"/>
    <mergeCell ref="H23:I23"/>
    <mergeCell ref="H24:I24"/>
    <mergeCell ref="H25:I25"/>
    <mergeCell ref="J22:K22"/>
    <mergeCell ref="J23:K23"/>
    <mergeCell ref="J24:K24"/>
    <mergeCell ref="J25:K25"/>
    <mergeCell ref="F22:G22"/>
    <mergeCell ref="F23:G23"/>
    <mergeCell ref="F24:G24"/>
    <mergeCell ref="A14:L14"/>
    <mergeCell ref="A16:L16"/>
    <mergeCell ref="N17:P17"/>
    <mergeCell ref="R17:T17"/>
    <mergeCell ref="A22:A23"/>
    <mergeCell ref="Z17:AB17"/>
    <mergeCell ref="K10:L10"/>
    <mergeCell ref="A12:L13"/>
    <mergeCell ref="N13:P13"/>
    <mergeCell ref="R13:T13"/>
    <mergeCell ref="V13:X13"/>
    <mergeCell ref="Z13:AB13"/>
    <mergeCell ref="D18:E19"/>
    <mergeCell ref="A18:C19"/>
    <mergeCell ref="N1:P1"/>
    <mergeCell ref="R1:T1"/>
    <mergeCell ref="V1:X1"/>
    <mergeCell ref="Z1:AB1"/>
    <mergeCell ref="AC1:AD1"/>
    <mergeCell ref="K2:L2"/>
    <mergeCell ref="Z5:AB5"/>
    <mergeCell ref="C6:I6"/>
    <mergeCell ref="K6:L6"/>
    <mergeCell ref="K7:L8"/>
    <mergeCell ref="C8:I9"/>
    <mergeCell ref="K9:L9"/>
    <mergeCell ref="N9:P9"/>
    <mergeCell ref="R9:T9"/>
    <mergeCell ref="V9:X9"/>
    <mergeCell ref="Z9:AB9"/>
    <mergeCell ref="B4:J5"/>
    <mergeCell ref="K4:L4"/>
    <mergeCell ref="K5:L5"/>
    <mergeCell ref="N5:P5"/>
    <mergeCell ref="R5:T5"/>
    <mergeCell ref="V5:X5"/>
  </mergeCells>
  <pageMargins left="0.25" right="0.25" top="0.75" bottom="0.75" header="0.3" footer="0.3"/>
  <pageSetup paperSize="5"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DD65A-D53A-4ACA-A07E-7AC6A1924958}">
  <sheetPr codeName="Hoja5"/>
  <dimension ref="A1:AF84"/>
  <sheetViews>
    <sheetView topLeftCell="A63" zoomScale="70" zoomScaleNormal="70" workbookViewId="0">
      <selection activeCell="F89" sqref="F89"/>
    </sheetView>
  </sheetViews>
  <sheetFormatPr baseColWidth="10" defaultRowHeight="14.25" x14ac:dyDescent="0.2"/>
  <cols>
    <col min="1" max="1" width="18.5703125" style="1" customWidth="1"/>
    <col min="2" max="8" width="9.28515625" style="1" customWidth="1"/>
    <col min="9" max="14" width="10.28515625" style="1" customWidth="1"/>
    <col min="15" max="15" width="2.7109375" style="1" customWidth="1"/>
    <col min="16" max="18" width="6.85546875" style="1" customWidth="1"/>
    <col min="19" max="19" width="2.7109375" style="1" customWidth="1"/>
    <col min="20" max="22" width="6.7109375" style="1" customWidth="1"/>
    <col min="23" max="23" width="2.5703125" style="1" customWidth="1"/>
    <col min="24" max="26" width="6.7109375" style="1" customWidth="1"/>
    <col min="27" max="27" width="2.7109375" style="1" customWidth="1"/>
    <col min="28" max="30" width="6.7109375" style="66" customWidth="1"/>
    <col min="31" max="31" width="2.7109375" style="1" customWidth="1"/>
    <col min="32" max="16384" width="11.42578125" style="1"/>
  </cols>
  <sheetData>
    <row r="1" spans="1:32" x14ac:dyDescent="0.2">
      <c r="P1" s="525" t="s">
        <v>93</v>
      </c>
      <c r="Q1" s="525"/>
      <c r="R1" s="525"/>
      <c r="T1" s="525" t="s">
        <v>85</v>
      </c>
      <c r="U1" s="525"/>
      <c r="V1" s="525"/>
      <c r="W1" s="72"/>
      <c r="X1" s="525" t="s">
        <v>101</v>
      </c>
      <c r="Y1" s="525"/>
      <c r="Z1" s="525"/>
      <c r="AB1" s="520" t="s">
        <v>60</v>
      </c>
      <c r="AC1" s="520"/>
      <c r="AD1" s="520"/>
      <c r="AE1" s="520" t="s">
        <v>104</v>
      </c>
      <c r="AF1" s="520"/>
    </row>
    <row r="2" spans="1:32" x14ac:dyDescent="0.2">
      <c r="M2" s="520" t="s">
        <v>167</v>
      </c>
      <c r="N2" s="520"/>
      <c r="O2" s="72"/>
      <c r="P2" s="72" t="s">
        <v>46</v>
      </c>
      <c r="Q2" s="72" t="s">
        <v>14</v>
      </c>
      <c r="R2" s="72" t="s">
        <v>13</v>
      </c>
      <c r="S2" s="72"/>
      <c r="T2" s="72" t="s">
        <v>46</v>
      </c>
      <c r="U2" s="72" t="s">
        <v>14</v>
      </c>
      <c r="V2" s="72" t="s">
        <v>13</v>
      </c>
      <c r="W2" s="72"/>
      <c r="X2" s="72" t="s">
        <v>46</v>
      </c>
      <c r="Y2" s="72" t="s">
        <v>14</v>
      </c>
      <c r="Z2" s="72" t="s">
        <v>13</v>
      </c>
      <c r="AB2" s="4" t="s">
        <v>20</v>
      </c>
      <c r="AC2" s="3">
        <f>(U3)*10</f>
        <v>0</v>
      </c>
      <c r="AD2" s="39">
        <f>(10*AC2)/10</f>
        <v>0</v>
      </c>
    </row>
    <row r="3" spans="1:32" x14ac:dyDescent="0.2">
      <c r="P3" s="72">
        <v>5</v>
      </c>
      <c r="Q3" s="72">
        <v>0</v>
      </c>
      <c r="R3" s="72">
        <f>(P3-Q3)</f>
        <v>5</v>
      </c>
      <c r="T3" s="72">
        <v>8</v>
      </c>
      <c r="U3" s="72">
        <v>0</v>
      </c>
      <c r="V3" s="72">
        <f>(T3-U3)</f>
        <v>8</v>
      </c>
      <c r="W3" s="72"/>
      <c r="X3" s="72">
        <v>7</v>
      </c>
      <c r="Y3" s="72">
        <v>0</v>
      </c>
      <c r="Z3" s="72">
        <f>(X3-Y3)</f>
        <v>7</v>
      </c>
      <c r="AB3" s="4" t="s">
        <v>21</v>
      </c>
      <c r="AC3" s="3">
        <f>(Q3)*10</f>
        <v>0</v>
      </c>
      <c r="AD3" s="39">
        <f>(10*AC3)/10</f>
        <v>0</v>
      </c>
    </row>
    <row r="4" spans="1:32" ht="15" customHeight="1" x14ac:dyDescent="0.25">
      <c r="B4" s="452" t="s">
        <v>25</v>
      </c>
      <c r="C4" s="452"/>
      <c r="D4" s="452"/>
      <c r="E4" s="452"/>
      <c r="F4" s="452"/>
      <c r="G4" s="452"/>
      <c r="H4" s="452"/>
      <c r="I4" s="452"/>
      <c r="J4" s="452"/>
      <c r="K4" s="452"/>
      <c r="L4" s="452"/>
      <c r="M4" s="762" t="s">
        <v>0</v>
      </c>
      <c r="N4" s="762"/>
      <c r="O4" s="22"/>
      <c r="P4" s="72"/>
      <c r="Q4" s="72"/>
      <c r="R4" s="72"/>
      <c r="S4" s="22"/>
      <c r="T4" s="72"/>
      <c r="U4" s="72"/>
      <c r="V4" s="72"/>
      <c r="W4" s="72"/>
      <c r="X4" s="72"/>
      <c r="Y4" s="72"/>
      <c r="AB4" s="4" t="s">
        <v>22</v>
      </c>
      <c r="AC4" s="3">
        <f>(Y3)*10</f>
        <v>0</v>
      </c>
      <c r="AD4" s="39">
        <f>(10*AC4)/10</f>
        <v>0</v>
      </c>
    </row>
    <row r="5" spans="1:32" ht="15" customHeight="1" x14ac:dyDescent="0.2">
      <c r="B5" s="452"/>
      <c r="C5" s="452"/>
      <c r="D5" s="452"/>
      <c r="E5" s="452"/>
      <c r="F5" s="452"/>
      <c r="G5" s="452"/>
      <c r="H5" s="452"/>
      <c r="I5" s="452"/>
      <c r="J5" s="452"/>
      <c r="K5" s="452"/>
      <c r="L5" s="452"/>
      <c r="M5" s="763" t="s">
        <v>168</v>
      </c>
      <c r="N5" s="763"/>
      <c r="O5" s="66"/>
      <c r="P5" s="525" t="s">
        <v>94</v>
      </c>
      <c r="Q5" s="525"/>
      <c r="R5" s="525"/>
      <c r="S5" s="66"/>
      <c r="T5" s="525" t="s">
        <v>86</v>
      </c>
      <c r="U5" s="525"/>
      <c r="V5" s="525"/>
      <c r="X5" s="525" t="s">
        <v>84</v>
      </c>
      <c r="Y5" s="525"/>
      <c r="Z5" s="525"/>
      <c r="AB5" s="525" t="s">
        <v>52</v>
      </c>
      <c r="AC5" s="525"/>
      <c r="AD5" s="525"/>
    </row>
    <row r="6" spans="1:32" ht="15" customHeight="1" x14ac:dyDescent="0.2">
      <c r="C6" s="764" t="s">
        <v>128</v>
      </c>
      <c r="D6" s="764"/>
      <c r="E6" s="764"/>
      <c r="F6" s="764"/>
      <c r="G6" s="764"/>
      <c r="H6" s="764"/>
      <c r="I6" s="764"/>
      <c r="J6" s="764"/>
      <c r="K6" s="764"/>
      <c r="M6" s="468" t="s">
        <v>31</v>
      </c>
      <c r="N6" s="468"/>
      <c r="O6" s="73"/>
      <c r="P6" s="72" t="s">
        <v>46</v>
      </c>
      <c r="Q6" s="72" t="s">
        <v>14</v>
      </c>
      <c r="R6" s="72" t="s">
        <v>13</v>
      </c>
      <c r="S6" s="73"/>
      <c r="T6" s="72" t="s">
        <v>46</v>
      </c>
      <c r="U6" s="72" t="s">
        <v>14</v>
      </c>
      <c r="V6" s="72" t="s">
        <v>13</v>
      </c>
      <c r="W6" s="72"/>
      <c r="X6" s="72" t="s">
        <v>46</v>
      </c>
      <c r="Y6" s="72" t="s">
        <v>14</v>
      </c>
      <c r="Z6" s="72" t="s">
        <v>13</v>
      </c>
      <c r="AB6" s="4" t="s">
        <v>20</v>
      </c>
      <c r="AC6" s="3">
        <f>(U7)*10</f>
        <v>0</v>
      </c>
      <c r="AD6" s="39">
        <f>(10*AC6)/10</f>
        <v>0</v>
      </c>
    </row>
    <row r="7" spans="1:32" ht="14.25" customHeight="1" x14ac:dyDescent="0.2">
      <c r="M7" s="760">
        <f>(B37+C37+D37)/3</f>
        <v>0</v>
      </c>
      <c r="N7" s="760"/>
      <c r="O7" s="23"/>
      <c r="P7" s="72">
        <v>17</v>
      </c>
      <c r="Q7" s="72">
        <v>0</v>
      </c>
      <c r="R7" s="72">
        <f>(P7-Q7)</f>
        <v>17</v>
      </c>
      <c r="S7" s="23"/>
      <c r="T7" s="72">
        <v>16</v>
      </c>
      <c r="U7" s="72">
        <v>0</v>
      </c>
      <c r="V7" s="72">
        <f>(T7-U7)</f>
        <v>16</v>
      </c>
      <c r="W7" s="72"/>
      <c r="X7" s="72">
        <v>7</v>
      </c>
      <c r="Y7" s="72">
        <v>0</v>
      </c>
      <c r="Z7" s="72">
        <f>(X7-Y7)</f>
        <v>7</v>
      </c>
      <c r="AB7" s="4" t="s">
        <v>21</v>
      </c>
      <c r="AC7" s="3">
        <f>(Q7)*10</f>
        <v>0</v>
      </c>
      <c r="AD7" s="39">
        <f>(10*AC7)/10</f>
        <v>0</v>
      </c>
    </row>
    <row r="8" spans="1:32" ht="14.25" customHeight="1" x14ac:dyDescent="0.2">
      <c r="C8" s="458" t="s">
        <v>30</v>
      </c>
      <c r="D8" s="458"/>
      <c r="E8" s="458"/>
      <c r="F8" s="458"/>
      <c r="G8" s="458"/>
      <c r="H8" s="458"/>
      <c r="I8" s="458"/>
      <c r="J8" s="458"/>
      <c r="K8" s="458"/>
      <c r="M8" s="760"/>
      <c r="N8" s="760"/>
      <c r="O8" s="24"/>
      <c r="S8" s="24"/>
      <c r="W8" s="72"/>
      <c r="AB8" s="4" t="s">
        <v>22</v>
      </c>
      <c r="AC8" s="3">
        <f>(Y7)*10</f>
        <v>0</v>
      </c>
      <c r="AD8" s="39">
        <f>(10*AC8)/10</f>
        <v>0</v>
      </c>
    </row>
    <row r="9" spans="1:32" ht="14.25" customHeight="1" x14ac:dyDescent="0.2">
      <c r="C9" s="458"/>
      <c r="D9" s="458"/>
      <c r="E9" s="458"/>
      <c r="F9" s="458"/>
      <c r="G9" s="458"/>
      <c r="H9" s="458"/>
      <c r="I9" s="458"/>
      <c r="J9" s="458"/>
      <c r="K9" s="458"/>
      <c r="M9" s="761" t="s">
        <v>108</v>
      </c>
      <c r="N9" s="761"/>
      <c r="P9" s="525" t="s">
        <v>95</v>
      </c>
      <c r="Q9" s="525"/>
      <c r="R9" s="525"/>
      <c r="T9" s="525" t="s">
        <v>87</v>
      </c>
      <c r="U9" s="525"/>
      <c r="V9" s="525"/>
      <c r="X9" s="525" t="s">
        <v>102</v>
      </c>
      <c r="Y9" s="525"/>
      <c r="Z9" s="525"/>
      <c r="AB9" s="525" t="s">
        <v>61</v>
      </c>
      <c r="AC9" s="525"/>
      <c r="AD9" s="525"/>
    </row>
    <row r="10" spans="1:32" ht="19.5" x14ac:dyDescent="0.25">
      <c r="J10" s="2"/>
      <c r="K10" s="2"/>
      <c r="M10" s="768">
        <v>-100</v>
      </c>
      <c r="N10" s="769"/>
      <c r="P10" s="72" t="s">
        <v>46</v>
      </c>
      <c r="Q10" s="72" t="s">
        <v>14</v>
      </c>
      <c r="R10" s="72" t="s">
        <v>13</v>
      </c>
      <c r="T10" s="72" t="s">
        <v>46</v>
      </c>
      <c r="U10" s="72" t="s">
        <v>14</v>
      </c>
      <c r="V10" s="72" t="s">
        <v>13</v>
      </c>
      <c r="X10" s="72" t="s">
        <v>46</v>
      </c>
      <c r="Y10" s="72" t="s">
        <v>14</v>
      </c>
      <c r="Z10" s="72" t="s">
        <v>13</v>
      </c>
      <c r="AB10" s="4" t="s">
        <v>20</v>
      </c>
      <c r="AC10" s="3">
        <f>(U11)*10</f>
        <v>0</v>
      </c>
      <c r="AD10" s="39">
        <f>(10*AC10)/10</f>
        <v>0</v>
      </c>
    </row>
    <row r="11" spans="1:32" ht="13.5" customHeight="1" x14ac:dyDescent="0.25">
      <c r="J11" s="2"/>
      <c r="K11" s="2"/>
      <c r="N11" s="53"/>
      <c r="P11" s="72">
        <v>8</v>
      </c>
      <c r="Q11" s="72">
        <v>0</v>
      </c>
      <c r="R11" s="72">
        <f>(P11-Q11)</f>
        <v>8</v>
      </c>
      <c r="T11" s="72">
        <v>7</v>
      </c>
      <c r="U11" s="72">
        <v>0</v>
      </c>
      <c r="V11" s="72">
        <f>(T11-U11)</f>
        <v>7</v>
      </c>
      <c r="X11" s="72">
        <v>7</v>
      </c>
      <c r="Y11" s="72">
        <v>0</v>
      </c>
      <c r="Z11" s="72">
        <f>(X11-Y11)</f>
        <v>7</v>
      </c>
      <c r="AB11" s="4" t="s">
        <v>21</v>
      </c>
      <c r="AC11" s="3">
        <f>(Q11)*10</f>
        <v>0</v>
      </c>
      <c r="AD11" s="39">
        <f>(10*AC11)/10</f>
        <v>0</v>
      </c>
    </row>
    <row r="12" spans="1:32" ht="14.25" customHeight="1" x14ac:dyDescent="0.2">
      <c r="A12" s="511" t="s">
        <v>26</v>
      </c>
      <c r="B12" s="511"/>
      <c r="C12" s="511"/>
      <c r="D12" s="511"/>
      <c r="E12" s="511"/>
      <c r="F12" s="511"/>
      <c r="G12" s="511"/>
      <c r="H12" s="511"/>
      <c r="I12" s="511"/>
      <c r="J12" s="511"/>
      <c r="K12" s="511"/>
      <c r="L12" s="511"/>
      <c r="M12" s="511"/>
      <c r="N12" s="511"/>
      <c r="O12" s="81"/>
      <c r="S12" s="81"/>
      <c r="AB12" s="4" t="s">
        <v>22</v>
      </c>
      <c r="AC12" s="3">
        <f>(Y11)*10</f>
        <v>0</v>
      </c>
      <c r="AD12" s="39">
        <f>(10*AC12)/10</f>
        <v>0</v>
      </c>
    </row>
    <row r="13" spans="1:32" ht="30" customHeight="1" x14ac:dyDescent="0.2">
      <c r="A13" s="511"/>
      <c r="B13" s="511"/>
      <c r="C13" s="511"/>
      <c r="D13" s="511"/>
      <c r="E13" s="511"/>
      <c r="F13" s="511"/>
      <c r="G13" s="511"/>
      <c r="H13" s="511"/>
      <c r="I13" s="511"/>
      <c r="J13" s="511"/>
      <c r="K13" s="511"/>
      <c r="L13" s="511"/>
      <c r="M13" s="511"/>
      <c r="N13" s="511"/>
      <c r="O13" s="81"/>
      <c r="P13" s="525" t="s">
        <v>96</v>
      </c>
      <c r="Q13" s="525"/>
      <c r="R13" s="525"/>
      <c r="S13" s="81"/>
      <c r="T13" s="525" t="s">
        <v>88</v>
      </c>
      <c r="U13" s="525"/>
      <c r="V13" s="525"/>
      <c r="X13" s="525" t="s">
        <v>103</v>
      </c>
      <c r="Y13" s="525"/>
      <c r="Z13" s="525"/>
      <c r="AB13" s="525" t="s">
        <v>53</v>
      </c>
      <c r="AC13" s="525"/>
      <c r="AD13" s="525"/>
    </row>
    <row r="14" spans="1:32" ht="14.25" customHeight="1" x14ac:dyDescent="0.2">
      <c r="A14" s="511" t="s">
        <v>27</v>
      </c>
      <c r="B14" s="511"/>
      <c r="C14" s="511"/>
      <c r="D14" s="511"/>
      <c r="E14" s="511"/>
      <c r="F14" s="511"/>
      <c r="G14" s="511"/>
      <c r="H14" s="511"/>
      <c r="I14" s="511"/>
      <c r="J14" s="511"/>
      <c r="K14" s="511"/>
      <c r="L14" s="511"/>
      <c r="M14" s="511"/>
      <c r="N14" s="511"/>
      <c r="O14" s="81"/>
      <c r="P14" s="72" t="s">
        <v>46</v>
      </c>
      <c r="Q14" s="72" t="s">
        <v>14</v>
      </c>
      <c r="R14" s="72" t="s">
        <v>13</v>
      </c>
      <c r="S14" s="81"/>
      <c r="T14" s="72" t="s">
        <v>46</v>
      </c>
      <c r="U14" s="72" t="s">
        <v>14</v>
      </c>
      <c r="V14" s="72" t="s">
        <v>13</v>
      </c>
      <c r="X14" s="72" t="s">
        <v>46</v>
      </c>
      <c r="Y14" s="72" t="s">
        <v>14</v>
      </c>
      <c r="Z14" s="72" t="s">
        <v>13</v>
      </c>
      <c r="AB14" s="4" t="s">
        <v>20</v>
      </c>
      <c r="AC14" s="3">
        <f>(U15)*10</f>
        <v>0</v>
      </c>
      <c r="AD14" s="39">
        <f>(10*AC14)/10</f>
        <v>0</v>
      </c>
    </row>
    <row r="15" spans="1:32" ht="14.25" customHeight="1" x14ac:dyDescent="0.2">
      <c r="A15" s="81"/>
      <c r="B15" s="81"/>
      <c r="C15" s="81"/>
      <c r="D15" s="81"/>
      <c r="E15" s="81"/>
      <c r="F15" s="81"/>
      <c r="G15" s="81"/>
      <c r="H15" s="81"/>
      <c r="I15" s="81"/>
      <c r="J15" s="81"/>
      <c r="K15" s="81"/>
      <c r="L15" s="81"/>
      <c r="M15" s="81"/>
      <c r="N15" s="81"/>
      <c r="O15" s="81"/>
      <c r="P15" s="72">
        <v>12</v>
      </c>
      <c r="Q15" s="72">
        <v>0</v>
      </c>
      <c r="R15" s="72">
        <f>(P15-Q15)</f>
        <v>12</v>
      </c>
      <c r="S15" s="81"/>
      <c r="T15" s="72">
        <v>12</v>
      </c>
      <c r="U15" s="72">
        <v>0</v>
      </c>
      <c r="V15" s="72">
        <f>(T15-U15)</f>
        <v>12</v>
      </c>
      <c r="X15" s="72">
        <v>7</v>
      </c>
      <c r="Y15" s="72">
        <v>0</v>
      </c>
      <c r="Z15" s="72">
        <f>(X15-Y15)</f>
        <v>7</v>
      </c>
      <c r="AB15" s="4" t="s">
        <v>21</v>
      </c>
      <c r="AC15" s="3">
        <f>(Q15)*10</f>
        <v>0</v>
      </c>
      <c r="AD15" s="39">
        <f>(10*AC15)/10</f>
        <v>0</v>
      </c>
    </row>
    <row r="16" spans="1:32" ht="30" customHeight="1" x14ac:dyDescent="0.2">
      <c r="A16" s="765" t="s">
        <v>132</v>
      </c>
      <c r="B16" s="766"/>
      <c r="C16" s="766"/>
      <c r="D16" s="766"/>
      <c r="E16" s="766"/>
      <c r="F16" s="766"/>
      <c r="G16" s="766"/>
      <c r="H16" s="766"/>
      <c r="I16" s="766"/>
      <c r="J16" s="766"/>
      <c r="K16" s="766"/>
      <c r="L16" s="766"/>
      <c r="M16" s="766"/>
      <c r="N16" s="767"/>
      <c r="O16" s="81"/>
      <c r="R16" s="72"/>
      <c r="S16" s="81"/>
      <c r="V16" s="72"/>
      <c r="W16" s="72"/>
      <c r="AB16" s="4" t="s">
        <v>22</v>
      </c>
      <c r="AC16" s="40">
        <f>(Y15)*10</f>
        <v>0</v>
      </c>
      <c r="AD16" s="41">
        <f>(10*AC16)/10</f>
        <v>0</v>
      </c>
    </row>
    <row r="17" spans="1:30" x14ac:dyDescent="0.2">
      <c r="P17" s="525" t="s">
        <v>97</v>
      </c>
      <c r="Q17" s="525"/>
      <c r="R17" s="525"/>
      <c r="T17" s="525" t="s">
        <v>89</v>
      </c>
      <c r="U17" s="525"/>
      <c r="V17" s="525"/>
      <c r="W17" s="72"/>
      <c r="AB17" s="525" t="s">
        <v>62</v>
      </c>
      <c r="AC17" s="525"/>
      <c r="AD17" s="525"/>
    </row>
    <row r="18" spans="1:30" x14ac:dyDescent="0.2">
      <c r="A18" s="59" t="s">
        <v>1</v>
      </c>
      <c r="B18" s="62" t="s">
        <v>3</v>
      </c>
      <c r="C18" s="62" t="s">
        <v>4</v>
      </c>
      <c r="D18" s="62" t="s">
        <v>12</v>
      </c>
      <c r="E18" s="62" t="s">
        <v>111</v>
      </c>
      <c r="F18" s="82" t="s">
        <v>83</v>
      </c>
      <c r="G18" s="63" t="s">
        <v>23</v>
      </c>
      <c r="H18" s="64" t="s">
        <v>131</v>
      </c>
      <c r="I18" s="466" t="s">
        <v>58</v>
      </c>
      <c r="J18" s="835"/>
      <c r="K18" s="835" t="s">
        <v>59</v>
      </c>
      <c r="L18" s="835"/>
      <c r="M18" s="835" t="s">
        <v>2</v>
      </c>
      <c r="N18" s="835"/>
      <c r="O18" s="21"/>
      <c r="P18" s="72" t="s">
        <v>46</v>
      </c>
      <c r="Q18" s="72" t="s">
        <v>14</v>
      </c>
      <c r="R18" s="72" t="s">
        <v>13</v>
      </c>
      <c r="S18" s="21"/>
      <c r="T18" s="72" t="s">
        <v>46</v>
      </c>
      <c r="U18" s="72" t="s">
        <v>14</v>
      </c>
      <c r="V18" s="72" t="s">
        <v>13</v>
      </c>
      <c r="W18" s="72"/>
      <c r="AB18" s="4" t="s">
        <v>20</v>
      </c>
      <c r="AC18" s="3">
        <f>(U19)*10</f>
        <v>0</v>
      </c>
      <c r="AD18" s="39">
        <f>(10*AC18)/10</f>
        <v>0</v>
      </c>
    </row>
    <row r="19" spans="1:30" ht="15.75" customHeight="1" thickBot="1" x14ac:dyDescent="0.25">
      <c r="A19" s="476" t="s">
        <v>60</v>
      </c>
      <c r="B19" s="478">
        <f>100-AD3</f>
        <v>100</v>
      </c>
      <c r="C19" s="478">
        <f>100-AD2</f>
        <v>100</v>
      </c>
      <c r="D19" s="478">
        <f>100-AD4</f>
        <v>100</v>
      </c>
      <c r="E19" s="485"/>
      <c r="F19" s="485"/>
      <c r="G19" s="834"/>
      <c r="H19" s="483"/>
      <c r="I19" s="471" t="s">
        <v>137</v>
      </c>
      <c r="J19" s="472"/>
      <c r="K19" s="471"/>
      <c r="L19" s="472"/>
      <c r="M19" s="822"/>
      <c r="N19" s="823"/>
      <c r="O19" s="74"/>
      <c r="P19" s="72">
        <v>8</v>
      </c>
      <c r="Q19" s="72">
        <v>0</v>
      </c>
      <c r="R19" s="72">
        <f>(P19-Q19)</f>
        <v>8</v>
      </c>
      <c r="S19" s="74"/>
      <c r="T19" s="72">
        <v>11</v>
      </c>
      <c r="U19" s="72">
        <v>0</v>
      </c>
      <c r="V19" s="72">
        <f>(T19-U19)</f>
        <v>11</v>
      </c>
      <c r="W19" s="72"/>
      <c r="AB19" s="4" t="s">
        <v>21</v>
      </c>
      <c r="AC19" s="3">
        <f>(Q19)*10</f>
        <v>0</v>
      </c>
      <c r="AD19" s="39">
        <f>(10*AC19)/10</f>
        <v>0</v>
      </c>
    </row>
    <row r="20" spans="1:30" ht="58.5" customHeight="1" thickBot="1" x14ac:dyDescent="0.25">
      <c r="A20" s="484"/>
      <c r="B20" s="833"/>
      <c r="C20" s="833"/>
      <c r="D20" s="833"/>
      <c r="E20" s="478"/>
      <c r="F20" s="478"/>
      <c r="G20" s="826"/>
      <c r="H20" s="837"/>
      <c r="I20" s="471" t="s">
        <v>145</v>
      </c>
      <c r="J20" s="472"/>
      <c r="K20" s="471"/>
      <c r="L20" s="472"/>
      <c r="M20" s="822"/>
      <c r="N20" s="823"/>
      <c r="O20" s="81"/>
      <c r="S20" s="81"/>
      <c r="AB20" s="525"/>
      <c r="AC20" s="525"/>
    </row>
    <row r="21" spans="1:30" ht="44.25" customHeight="1" thickBot="1" x14ac:dyDescent="0.25">
      <c r="A21" s="484" t="s">
        <v>52</v>
      </c>
      <c r="B21" s="833">
        <f>100-AD7</f>
        <v>100</v>
      </c>
      <c r="C21" s="833">
        <f>100-AD6</f>
        <v>100</v>
      </c>
      <c r="D21" s="833">
        <f>100-AD8</f>
        <v>100</v>
      </c>
      <c r="E21" s="833" t="s">
        <v>144</v>
      </c>
      <c r="F21" s="833">
        <f>(V43)</f>
        <v>0</v>
      </c>
      <c r="G21" s="838">
        <f>(Z43)</f>
        <v>0</v>
      </c>
      <c r="H21" s="836"/>
      <c r="I21" s="471" t="s">
        <v>146</v>
      </c>
      <c r="J21" s="472"/>
      <c r="K21" s="471"/>
      <c r="L21" s="472"/>
      <c r="M21" s="471"/>
      <c r="N21" s="472"/>
      <c r="O21" s="25"/>
      <c r="P21" s="525" t="s">
        <v>98</v>
      </c>
      <c r="Q21" s="525"/>
      <c r="R21" s="525"/>
      <c r="S21" s="25"/>
      <c r="T21" s="525" t="s">
        <v>90</v>
      </c>
      <c r="U21" s="525"/>
      <c r="V21" s="525"/>
      <c r="AB21" s="525" t="s">
        <v>64</v>
      </c>
      <c r="AC21" s="525"/>
      <c r="AD21" s="525"/>
    </row>
    <row r="22" spans="1:30" ht="131.25" customHeight="1" thickBot="1" x14ac:dyDescent="0.25">
      <c r="A22" s="484"/>
      <c r="B22" s="833"/>
      <c r="C22" s="833"/>
      <c r="D22" s="833"/>
      <c r="E22" s="833"/>
      <c r="F22" s="833"/>
      <c r="G22" s="838"/>
      <c r="H22" s="836"/>
      <c r="I22" s="471" t="s">
        <v>147</v>
      </c>
      <c r="J22" s="472"/>
      <c r="K22" s="471"/>
      <c r="L22" s="472"/>
      <c r="M22" s="526"/>
      <c r="N22" s="527"/>
      <c r="O22" s="25"/>
      <c r="P22" s="72" t="s">
        <v>46</v>
      </c>
      <c r="Q22" s="72" t="s">
        <v>14</v>
      </c>
      <c r="R22" s="72" t="s">
        <v>13</v>
      </c>
      <c r="S22" s="25"/>
      <c r="T22" s="72" t="s">
        <v>46</v>
      </c>
      <c r="U22" s="72" t="s">
        <v>14</v>
      </c>
      <c r="V22" s="72" t="s">
        <v>13</v>
      </c>
      <c r="AB22" s="4" t="s">
        <v>20</v>
      </c>
      <c r="AC22" s="3">
        <f>(U23)*10</f>
        <v>0</v>
      </c>
      <c r="AD22" s="39">
        <f>(10*AC22)/10</f>
        <v>0</v>
      </c>
    </row>
    <row r="23" spans="1:30" ht="33" customHeight="1" thickBot="1" x14ac:dyDescent="0.25">
      <c r="A23" s="484" t="s">
        <v>61</v>
      </c>
      <c r="B23" s="833">
        <f>100-AD11</f>
        <v>100</v>
      </c>
      <c r="C23" s="833">
        <f>100-AD10</f>
        <v>100</v>
      </c>
      <c r="D23" s="833">
        <f>100-AD12</f>
        <v>100</v>
      </c>
      <c r="E23" s="477"/>
      <c r="F23" s="477"/>
      <c r="G23" s="825"/>
      <c r="H23" s="837"/>
      <c r="I23" s="471" t="s">
        <v>148</v>
      </c>
      <c r="J23" s="472"/>
      <c r="K23" s="471"/>
      <c r="L23" s="472"/>
      <c r="M23" s="526"/>
      <c r="N23" s="527"/>
      <c r="O23" s="25"/>
      <c r="P23" s="72">
        <v>6</v>
      </c>
      <c r="Q23" s="72">
        <v>0</v>
      </c>
      <c r="R23" s="72">
        <f>(P23-Q23)</f>
        <v>6</v>
      </c>
      <c r="S23" s="25"/>
      <c r="T23" s="72">
        <v>4</v>
      </c>
      <c r="U23" s="72">
        <v>0</v>
      </c>
      <c r="V23" s="72">
        <f>(T23-U23)</f>
        <v>4</v>
      </c>
      <c r="AB23" s="4" t="s">
        <v>21</v>
      </c>
      <c r="AC23" s="3">
        <f>(Q23)*10</f>
        <v>0</v>
      </c>
      <c r="AD23" s="39">
        <f>(10*AC23)/10</f>
        <v>0</v>
      </c>
    </row>
    <row r="24" spans="1:30" ht="29.25" customHeight="1" thickBot="1" x14ac:dyDescent="0.25">
      <c r="A24" s="484"/>
      <c r="B24" s="833"/>
      <c r="C24" s="833"/>
      <c r="D24" s="833"/>
      <c r="E24" s="478"/>
      <c r="F24" s="478"/>
      <c r="G24" s="826"/>
      <c r="H24" s="837"/>
      <c r="I24" s="471" t="s">
        <v>149</v>
      </c>
      <c r="J24" s="472"/>
      <c r="K24" s="471"/>
      <c r="L24" s="472"/>
      <c r="M24" s="526"/>
      <c r="N24" s="527"/>
      <c r="O24" s="25"/>
      <c r="S24" s="25"/>
      <c r="AB24" s="1"/>
      <c r="AC24" s="1"/>
      <c r="AD24" s="1"/>
    </row>
    <row r="25" spans="1:30" ht="30" customHeight="1" thickBot="1" x14ac:dyDescent="0.25">
      <c r="A25" s="484" t="s">
        <v>53</v>
      </c>
      <c r="B25" s="833">
        <f>100-AD15</f>
        <v>100</v>
      </c>
      <c r="C25" s="833">
        <f>100-AD14</f>
        <v>100</v>
      </c>
      <c r="D25" s="833">
        <f>100-AD16</f>
        <v>100</v>
      </c>
      <c r="E25" s="833" t="s">
        <v>144</v>
      </c>
      <c r="F25" s="477"/>
      <c r="G25" s="825"/>
      <c r="H25" s="837"/>
      <c r="I25" s="471" t="s">
        <v>138</v>
      </c>
      <c r="J25" s="472"/>
      <c r="K25" s="471"/>
      <c r="L25" s="472"/>
      <c r="M25" s="526"/>
      <c r="N25" s="527"/>
      <c r="O25" s="25"/>
      <c r="S25" s="25"/>
      <c r="AB25" s="525"/>
      <c r="AC25" s="525"/>
    </row>
    <row r="26" spans="1:30" ht="33" customHeight="1" thickBot="1" x14ac:dyDescent="0.25">
      <c r="A26" s="484"/>
      <c r="B26" s="833"/>
      <c r="C26" s="833"/>
      <c r="D26" s="833"/>
      <c r="E26" s="833"/>
      <c r="F26" s="478"/>
      <c r="G26" s="826"/>
      <c r="H26" s="837"/>
      <c r="I26" s="471" t="s">
        <v>150</v>
      </c>
      <c r="J26" s="472"/>
      <c r="K26" s="471"/>
      <c r="L26" s="472"/>
      <c r="M26" s="526"/>
      <c r="N26" s="527"/>
      <c r="O26" s="25"/>
      <c r="P26" s="525" t="s">
        <v>99</v>
      </c>
      <c r="Q26" s="525"/>
      <c r="R26" s="525"/>
      <c r="S26" s="25"/>
      <c r="T26" s="525" t="s">
        <v>91</v>
      </c>
      <c r="U26" s="525"/>
      <c r="V26" s="525"/>
      <c r="AB26" s="525" t="s">
        <v>65</v>
      </c>
      <c r="AC26" s="525"/>
      <c r="AD26" s="525"/>
    </row>
    <row r="27" spans="1:30" ht="15.75" customHeight="1" thickBot="1" x14ac:dyDescent="0.25">
      <c r="A27" s="484" t="s">
        <v>62</v>
      </c>
      <c r="B27" s="833">
        <f>100-AD19</f>
        <v>100</v>
      </c>
      <c r="C27" s="833">
        <f>100-AD18</f>
        <v>100</v>
      </c>
      <c r="D27" s="833"/>
      <c r="E27" s="833" t="s">
        <v>144</v>
      </c>
      <c r="F27" s="477"/>
      <c r="G27" s="825"/>
      <c r="H27" s="837"/>
      <c r="I27" s="471" t="s">
        <v>129</v>
      </c>
      <c r="J27" s="472"/>
      <c r="K27" s="471"/>
      <c r="L27" s="472"/>
      <c r="M27" s="526"/>
      <c r="N27" s="527"/>
      <c r="O27" s="74"/>
      <c r="P27" s="72" t="s">
        <v>46</v>
      </c>
      <c r="Q27" s="72" t="s">
        <v>14</v>
      </c>
      <c r="R27" s="72" t="s">
        <v>13</v>
      </c>
      <c r="S27" s="74"/>
      <c r="T27" s="72" t="s">
        <v>46</v>
      </c>
      <c r="U27" s="72" t="s">
        <v>14</v>
      </c>
      <c r="V27" s="72" t="s">
        <v>13</v>
      </c>
      <c r="AB27" s="4" t="s">
        <v>20</v>
      </c>
      <c r="AC27" s="3">
        <f>(U28)*10</f>
        <v>0</v>
      </c>
      <c r="AD27" s="39">
        <f>(10*AC27)/10</f>
        <v>0</v>
      </c>
    </row>
    <row r="28" spans="1:30" ht="30" customHeight="1" thickBot="1" x14ac:dyDescent="0.25">
      <c r="A28" s="484"/>
      <c r="B28" s="833"/>
      <c r="C28" s="833"/>
      <c r="D28" s="833"/>
      <c r="E28" s="833"/>
      <c r="F28" s="478"/>
      <c r="G28" s="826"/>
      <c r="H28" s="837"/>
      <c r="I28" s="471" t="s">
        <v>151</v>
      </c>
      <c r="J28" s="472"/>
      <c r="K28" s="471"/>
      <c r="L28" s="472"/>
      <c r="M28" s="471"/>
      <c r="N28" s="472"/>
      <c r="O28" s="74"/>
      <c r="P28" s="72">
        <v>3</v>
      </c>
      <c r="Q28" s="72">
        <v>0</v>
      </c>
      <c r="R28" s="72">
        <f>(P28-Q28)</f>
        <v>3</v>
      </c>
      <c r="S28" s="74"/>
      <c r="T28" s="72">
        <v>1</v>
      </c>
      <c r="U28" s="72">
        <v>0</v>
      </c>
      <c r="V28" s="72">
        <f>(T28-U28)</f>
        <v>1</v>
      </c>
      <c r="AB28" s="4" t="s">
        <v>21</v>
      </c>
      <c r="AC28" s="3">
        <f>(Q28)*10</f>
        <v>0</v>
      </c>
      <c r="AD28" s="39">
        <f>(10*AC28)/10</f>
        <v>0</v>
      </c>
    </row>
    <row r="29" spans="1:30" ht="15" customHeight="1" thickBot="1" x14ac:dyDescent="0.25">
      <c r="A29" s="484" t="s">
        <v>125</v>
      </c>
      <c r="B29" s="833">
        <f>100-AD23</f>
        <v>100</v>
      </c>
      <c r="C29" s="833">
        <f>100-AD22</f>
        <v>100</v>
      </c>
      <c r="D29" s="833"/>
      <c r="E29" s="477"/>
      <c r="F29" s="477"/>
      <c r="G29" s="825"/>
      <c r="H29" s="837"/>
      <c r="I29" s="471" t="s">
        <v>130</v>
      </c>
      <c r="J29" s="472"/>
      <c r="K29" s="471"/>
      <c r="L29" s="472"/>
      <c r="M29" s="526"/>
      <c r="N29" s="527"/>
      <c r="O29" s="25"/>
      <c r="S29" s="25"/>
      <c r="AB29" s="525"/>
      <c r="AC29" s="525"/>
    </row>
    <row r="30" spans="1:30" ht="15" thickBot="1" x14ac:dyDescent="0.25">
      <c r="A30" s="484"/>
      <c r="B30" s="833"/>
      <c r="C30" s="833"/>
      <c r="D30" s="833"/>
      <c r="E30" s="478"/>
      <c r="F30" s="478"/>
      <c r="G30" s="826"/>
      <c r="H30" s="837"/>
      <c r="I30" s="526"/>
      <c r="J30" s="524"/>
      <c r="K30" s="526"/>
      <c r="L30" s="524"/>
      <c r="M30" s="526"/>
      <c r="N30" s="527"/>
      <c r="O30" s="25"/>
      <c r="P30" s="525" t="s">
        <v>100</v>
      </c>
      <c r="Q30" s="525"/>
      <c r="R30" s="525"/>
      <c r="S30" s="25"/>
      <c r="T30" s="525" t="s">
        <v>92</v>
      </c>
      <c r="U30" s="525"/>
      <c r="V30" s="525"/>
      <c r="AB30" s="525" t="s">
        <v>63</v>
      </c>
      <c r="AC30" s="525"/>
      <c r="AD30" s="525"/>
    </row>
    <row r="31" spans="1:30" ht="15.75" customHeight="1" thickBot="1" x14ac:dyDescent="0.25">
      <c r="A31" s="484" t="s">
        <v>65</v>
      </c>
      <c r="B31" s="833">
        <f>100-AD28</f>
        <v>100</v>
      </c>
      <c r="C31" s="833">
        <f>100-AD27</f>
        <v>100</v>
      </c>
      <c r="D31" s="833"/>
      <c r="E31" s="833" t="s">
        <v>144</v>
      </c>
      <c r="F31" s="477"/>
      <c r="G31" s="825"/>
      <c r="H31" s="837"/>
      <c r="I31" s="526"/>
      <c r="J31" s="524"/>
      <c r="K31" s="526"/>
      <c r="L31" s="524"/>
      <c r="M31" s="526"/>
      <c r="N31" s="527"/>
      <c r="O31" s="25"/>
      <c r="P31" s="72" t="s">
        <v>46</v>
      </c>
      <c r="Q31" s="72" t="s">
        <v>14</v>
      </c>
      <c r="R31" s="72" t="s">
        <v>13</v>
      </c>
      <c r="S31" s="25"/>
      <c r="T31" s="72" t="s">
        <v>46</v>
      </c>
      <c r="U31" s="72" t="s">
        <v>14</v>
      </c>
      <c r="V31" s="72" t="s">
        <v>13</v>
      </c>
      <c r="AB31" s="4" t="s">
        <v>20</v>
      </c>
      <c r="AC31" s="3">
        <f>(U32)*10</f>
        <v>0</v>
      </c>
      <c r="AD31" s="39">
        <f>(10*AC31)/10</f>
        <v>0</v>
      </c>
    </row>
    <row r="32" spans="1:30" ht="15.75" customHeight="1" thickBot="1" x14ac:dyDescent="0.25">
      <c r="A32" s="484"/>
      <c r="B32" s="833"/>
      <c r="C32" s="833"/>
      <c r="D32" s="833"/>
      <c r="E32" s="833"/>
      <c r="F32" s="478"/>
      <c r="G32" s="826"/>
      <c r="H32" s="837"/>
      <c r="I32" s="526"/>
      <c r="J32" s="524"/>
      <c r="K32" s="526"/>
      <c r="L32" s="524"/>
      <c r="M32" s="526"/>
      <c r="N32" s="527"/>
      <c r="O32" s="81"/>
      <c r="P32" s="72">
        <v>10</v>
      </c>
      <c r="Q32" s="72">
        <v>0</v>
      </c>
      <c r="R32" s="72">
        <f>(P32-Q32)</f>
        <v>10</v>
      </c>
      <c r="S32" s="81"/>
      <c r="T32" s="72">
        <v>8</v>
      </c>
      <c r="U32" s="72">
        <v>0</v>
      </c>
      <c r="V32" s="72">
        <f>(T32-U32)</f>
        <v>8</v>
      </c>
      <c r="AB32" s="4" t="s">
        <v>21</v>
      </c>
      <c r="AC32" s="3">
        <f>(Q32)*10</f>
        <v>0</v>
      </c>
      <c r="AD32" s="39">
        <f>(10*AC32)/10</f>
        <v>0</v>
      </c>
    </row>
    <row r="33" spans="1:30" ht="30" customHeight="1" thickBot="1" x14ac:dyDescent="0.25">
      <c r="A33" s="484" t="s">
        <v>63</v>
      </c>
      <c r="B33" s="833">
        <f>100-AD32</f>
        <v>100</v>
      </c>
      <c r="C33" s="833">
        <f>100-AD31</f>
        <v>100</v>
      </c>
      <c r="D33" s="833"/>
      <c r="E33" s="477"/>
      <c r="F33" s="477"/>
      <c r="G33" s="825"/>
      <c r="H33" s="837"/>
      <c r="I33" s="471" t="s">
        <v>133</v>
      </c>
      <c r="J33" s="472"/>
      <c r="K33" s="471"/>
      <c r="L33" s="472"/>
      <c r="M33" s="526"/>
      <c r="N33" s="527"/>
      <c r="O33" s="81"/>
      <c r="P33" s="72"/>
      <c r="Q33" s="72"/>
      <c r="R33" s="72"/>
      <c r="S33" s="81"/>
      <c r="T33" s="72"/>
      <c r="U33" s="72"/>
      <c r="V33" s="72"/>
      <c r="AB33" s="4"/>
      <c r="AC33" s="3"/>
      <c r="AD33" s="39"/>
    </row>
    <row r="34" spans="1:30" ht="15" customHeight="1" thickBot="1" x14ac:dyDescent="0.25">
      <c r="A34" s="484"/>
      <c r="B34" s="833"/>
      <c r="C34" s="833"/>
      <c r="D34" s="833"/>
      <c r="E34" s="478"/>
      <c r="F34" s="478"/>
      <c r="G34" s="826"/>
      <c r="H34" s="837"/>
      <c r="I34" s="471" t="s">
        <v>141</v>
      </c>
      <c r="J34" s="472"/>
      <c r="K34" s="471"/>
      <c r="L34" s="472"/>
      <c r="M34" s="471"/>
      <c r="N34" s="472"/>
      <c r="O34" s="81"/>
      <c r="P34" s="72"/>
      <c r="Q34" s="72"/>
      <c r="R34" s="72"/>
      <c r="S34" s="81"/>
      <c r="T34" s="72"/>
      <c r="U34" s="72"/>
      <c r="V34" s="72"/>
      <c r="AB34" s="4"/>
      <c r="AC34" s="3"/>
      <c r="AD34" s="39"/>
    </row>
    <row r="35" spans="1:30" ht="29.25" customHeight="1" thickBot="1" x14ac:dyDescent="0.25">
      <c r="A35" s="484" t="s">
        <v>19</v>
      </c>
      <c r="B35" s="827">
        <f>(T46)*10</f>
        <v>0</v>
      </c>
      <c r="C35" s="828"/>
      <c r="D35" s="828"/>
      <c r="E35" s="828"/>
      <c r="F35" s="828"/>
      <c r="G35" s="829"/>
      <c r="H35" s="839">
        <f>(B35)</f>
        <v>0</v>
      </c>
      <c r="I35" s="471" t="s">
        <v>152</v>
      </c>
      <c r="J35" s="472"/>
      <c r="K35" s="471"/>
      <c r="L35" s="472"/>
      <c r="M35" s="526"/>
      <c r="N35" s="527"/>
      <c r="O35" s="74"/>
      <c r="S35" s="74"/>
      <c r="AB35" s="1"/>
      <c r="AC35" s="1"/>
      <c r="AD35" s="1"/>
    </row>
    <row r="36" spans="1:30" ht="29.25" customHeight="1" thickBot="1" x14ac:dyDescent="0.25">
      <c r="A36" s="475"/>
      <c r="B36" s="830"/>
      <c r="C36" s="831"/>
      <c r="D36" s="831"/>
      <c r="E36" s="831"/>
      <c r="F36" s="831"/>
      <c r="G36" s="832"/>
      <c r="H36" s="839"/>
      <c r="I36" s="490"/>
      <c r="J36" s="491"/>
      <c r="K36" s="490"/>
      <c r="L36" s="491"/>
      <c r="M36" s="803"/>
      <c r="N36" s="804"/>
      <c r="O36" s="74"/>
      <c r="S36" s="74"/>
    </row>
    <row r="37" spans="1:30" ht="20.25" customHeight="1" thickBot="1" x14ac:dyDescent="0.25">
      <c r="A37" s="54" t="s">
        <v>82</v>
      </c>
      <c r="B37" s="60"/>
      <c r="C37" s="60"/>
      <c r="D37" s="55"/>
      <c r="E37" s="55"/>
      <c r="F37" s="55">
        <f>(F21)</f>
        <v>0</v>
      </c>
      <c r="G37" s="55">
        <f>(G21)</f>
        <v>0</v>
      </c>
      <c r="H37" s="56"/>
      <c r="I37" s="30"/>
      <c r="J37" s="30"/>
      <c r="K37" s="30"/>
      <c r="L37" s="30"/>
      <c r="M37" s="30"/>
      <c r="N37" s="30"/>
      <c r="Q37" s="66"/>
      <c r="R37" s="66"/>
      <c r="S37" s="66"/>
      <c r="AB37" s="1"/>
      <c r="AC37" s="1"/>
      <c r="AD37" s="1"/>
    </row>
    <row r="38" spans="1:30" x14ac:dyDescent="0.2">
      <c r="A38" s="13"/>
      <c r="B38" s="26"/>
      <c r="C38" s="26"/>
      <c r="D38" s="26"/>
      <c r="E38" s="26"/>
      <c r="F38" s="26"/>
      <c r="G38" s="26"/>
      <c r="H38" s="26"/>
      <c r="I38" s="14"/>
      <c r="J38" s="14"/>
      <c r="K38" s="14"/>
      <c r="L38" s="14"/>
      <c r="M38" s="14"/>
      <c r="N38" s="14"/>
      <c r="O38" s="74"/>
      <c r="Q38" s="66"/>
      <c r="R38" s="66"/>
      <c r="S38" s="66"/>
      <c r="AB38" s="1"/>
      <c r="AC38" s="1"/>
      <c r="AD38" s="1"/>
    </row>
    <row r="39" spans="1:30" ht="15.75" customHeight="1" x14ac:dyDescent="0.2">
      <c r="A39" s="815" t="s">
        <v>18</v>
      </c>
      <c r="B39" s="815"/>
      <c r="C39" s="815"/>
      <c r="E39" s="850" t="s">
        <v>19</v>
      </c>
      <c r="F39" s="850"/>
      <c r="G39" s="850"/>
      <c r="H39" s="850"/>
      <c r="I39" s="850"/>
      <c r="J39" s="850"/>
      <c r="K39" s="850"/>
      <c r="L39" s="850"/>
      <c r="M39" s="850"/>
      <c r="N39" s="20"/>
      <c r="Q39" s="66"/>
      <c r="R39" s="66"/>
      <c r="S39" s="66"/>
      <c r="AB39" s="1"/>
      <c r="AC39" s="1"/>
      <c r="AD39" s="1"/>
    </row>
    <row r="40" spans="1:30" ht="15.75" customHeight="1" x14ac:dyDescent="0.2">
      <c r="A40" s="45" t="s">
        <v>1</v>
      </c>
      <c r="B40" s="45" t="s">
        <v>120</v>
      </c>
      <c r="C40" s="27" t="s">
        <v>117</v>
      </c>
      <c r="E40" s="52" t="s">
        <v>40</v>
      </c>
      <c r="F40" s="52" t="s">
        <v>73</v>
      </c>
      <c r="G40" s="52" t="s">
        <v>121</v>
      </c>
      <c r="H40" s="52" t="s">
        <v>41</v>
      </c>
      <c r="I40" s="52" t="s">
        <v>55</v>
      </c>
      <c r="J40" s="52" t="s">
        <v>42</v>
      </c>
      <c r="K40" s="52" t="s">
        <v>43</v>
      </c>
      <c r="L40" s="52" t="s">
        <v>44</v>
      </c>
      <c r="M40" s="52" t="s">
        <v>45</v>
      </c>
      <c r="Q40" s="66"/>
      <c r="R40" s="66"/>
      <c r="S40" s="66"/>
      <c r="AB40" s="1"/>
      <c r="AC40" s="1"/>
      <c r="AD40" s="1"/>
    </row>
    <row r="41" spans="1:30" ht="14.25" customHeight="1" x14ac:dyDescent="0.2">
      <c r="A41" s="61" t="s">
        <v>75</v>
      </c>
      <c r="B41" s="28" t="s">
        <v>77</v>
      </c>
      <c r="C41" s="61"/>
      <c r="E41" s="61">
        <v>0</v>
      </c>
      <c r="F41" s="61">
        <v>0</v>
      </c>
      <c r="G41" s="61" t="s">
        <v>24</v>
      </c>
      <c r="H41" s="61" t="s">
        <v>24</v>
      </c>
      <c r="I41" s="61">
        <v>0</v>
      </c>
      <c r="J41" s="61">
        <v>0</v>
      </c>
      <c r="K41" s="61">
        <v>0</v>
      </c>
      <c r="L41" s="61">
        <v>0</v>
      </c>
      <c r="M41" s="61">
        <v>0</v>
      </c>
      <c r="S41" s="31"/>
    </row>
    <row r="42" spans="1:30" ht="14.25" customHeight="1" x14ac:dyDescent="0.2">
      <c r="A42" s="61" t="s">
        <v>76</v>
      </c>
      <c r="B42" s="28" t="s">
        <v>78</v>
      </c>
      <c r="C42" s="61"/>
      <c r="I42" s="74"/>
      <c r="P42" s="851" t="s">
        <v>126</v>
      </c>
      <c r="Q42" s="851"/>
      <c r="R42" s="851"/>
      <c r="S42" s="31"/>
      <c r="T42" s="852" t="s">
        <v>18</v>
      </c>
      <c r="U42" s="852"/>
      <c r="V42" s="852"/>
      <c r="X42" s="840" t="s">
        <v>47</v>
      </c>
      <c r="Y42" s="840"/>
      <c r="Z42" s="840"/>
    </row>
    <row r="43" spans="1:30" ht="14.25" customHeight="1" x14ac:dyDescent="0.2">
      <c r="A43" s="61" t="s">
        <v>107</v>
      </c>
      <c r="B43" s="28" t="s">
        <v>78</v>
      </c>
      <c r="C43" s="61"/>
      <c r="E43" s="66"/>
      <c r="F43" s="841" t="s">
        <v>74</v>
      </c>
      <c r="G43" s="842"/>
      <c r="H43" s="13"/>
      <c r="I43" s="13"/>
      <c r="J43" s="13"/>
      <c r="K43" s="843" t="s">
        <v>49</v>
      </c>
      <c r="L43" s="843"/>
      <c r="N43" s="66"/>
      <c r="O43" s="66"/>
      <c r="P43" s="844">
        <v>0</v>
      </c>
      <c r="Q43" s="844"/>
      <c r="R43" s="78">
        <f>(25*P43)</f>
        <v>0</v>
      </c>
      <c r="T43" s="845">
        <v>0</v>
      </c>
      <c r="U43" s="845"/>
      <c r="V43" s="79">
        <f>(20*T43)</f>
        <v>0</v>
      </c>
      <c r="X43" s="846">
        <v>0</v>
      </c>
      <c r="Y43" s="846"/>
      <c r="Z43" s="80">
        <f>(20*X43)</f>
        <v>0</v>
      </c>
    </row>
    <row r="44" spans="1:30" ht="14.25" customHeight="1" x14ac:dyDescent="0.2">
      <c r="A44" s="61" t="s">
        <v>66</v>
      </c>
      <c r="B44" s="28" t="s">
        <v>79</v>
      </c>
      <c r="C44" s="61"/>
      <c r="E44" s="66"/>
      <c r="F44" s="51" t="s">
        <v>69</v>
      </c>
      <c r="G44" s="51" t="s">
        <v>50</v>
      </c>
      <c r="H44" s="66"/>
      <c r="I44" s="66"/>
      <c r="J44" s="66"/>
      <c r="K44" s="51" t="s">
        <v>69</v>
      </c>
      <c r="L44" s="51" t="s">
        <v>50</v>
      </c>
      <c r="N44" s="31"/>
      <c r="O44" s="31"/>
      <c r="P44" s="31"/>
      <c r="Q44" s="31"/>
      <c r="R44" s="31"/>
    </row>
    <row r="45" spans="1:30" ht="14.25" customHeight="1" x14ac:dyDescent="0.2">
      <c r="A45" s="61" t="s">
        <v>67</v>
      </c>
      <c r="B45" s="28" t="s">
        <v>78</v>
      </c>
      <c r="C45" s="61"/>
      <c r="E45" s="66"/>
      <c r="F45" s="61">
        <v>3</v>
      </c>
      <c r="G45" s="61">
        <v>0</v>
      </c>
      <c r="H45" s="66"/>
      <c r="I45" s="66"/>
      <c r="J45" s="66"/>
      <c r="K45" s="61">
        <v>2</v>
      </c>
      <c r="L45" s="61">
        <v>0</v>
      </c>
      <c r="N45" s="31"/>
      <c r="O45" s="31"/>
      <c r="T45" s="847" t="s">
        <v>48</v>
      </c>
      <c r="U45" s="847"/>
      <c r="V45" s="847"/>
    </row>
    <row r="46" spans="1:30" ht="14.25" customHeight="1" x14ac:dyDescent="0.2">
      <c r="A46" s="61" t="s">
        <v>68</v>
      </c>
      <c r="B46" s="28" t="s">
        <v>136</v>
      </c>
      <c r="C46" s="61"/>
      <c r="E46" s="72"/>
      <c r="F46" s="72"/>
      <c r="N46" s="31"/>
      <c r="O46" s="31"/>
      <c r="S46" s="31"/>
      <c r="T46" s="848">
        <f>SUM(I41+J41+K41+L41+E41+F41+M41)/7</f>
        <v>0</v>
      </c>
      <c r="U46" s="848"/>
      <c r="V46" s="848"/>
    </row>
    <row r="47" spans="1:30" ht="14.25" customHeight="1" x14ac:dyDescent="0.2">
      <c r="G47" s="789" t="s">
        <v>51</v>
      </c>
      <c r="H47" s="790"/>
      <c r="I47" s="790"/>
      <c r="J47" s="790"/>
      <c r="K47" s="791"/>
    </row>
    <row r="48" spans="1:30" ht="22.5" customHeight="1" x14ac:dyDescent="0.2">
      <c r="A48" s="815" t="s">
        <v>115</v>
      </c>
      <c r="B48" s="815"/>
      <c r="C48" s="815"/>
      <c r="G48" s="787" t="s">
        <v>122</v>
      </c>
      <c r="H48" s="61" t="s">
        <v>52</v>
      </c>
      <c r="I48" s="61" t="s">
        <v>106</v>
      </c>
      <c r="J48" s="61" t="s">
        <v>62</v>
      </c>
      <c r="K48" s="61" t="s">
        <v>65</v>
      </c>
    </row>
    <row r="49" spans="1:30" ht="14.25" customHeight="1" x14ac:dyDescent="0.2">
      <c r="A49" s="27" t="s">
        <v>116</v>
      </c>
      <c r="B49" s="27" t="s">
        <v>69</v>
      </c>
      <c r="C49" s="27" t="s">
        <v>117</v>
      </c>
      <c r="G49" s="788"/>
      <c r="H49" s="51" t="s">
        <v>50</v>
      </c>
      <c r="I49" s="51" t="s">
        <v>50</v>
      </c>
      <c r="J49" s="51" t="s">
        <v>50</v>
      </c>
      <c r="K49" s="51" t="s">
        <v>50</v>
      </c>
      <c r="W49" s="66"/>
    </row>
    <row r="50" spans="1:30" ht="14.25" customHeight="1" x14ac:dyDescent="0.2">
      <c r="A50" s="43" t="s">
        <v>112</v>
      </c>
      <c r="B50" s="61" t="s">
        <v>70</v>
      </c>
      <c r="C50" s="61"/>
      <c r="G50" s="61">
        <v>2</v>
      </c>
      <c r="H50" s="61">
        <v>0</v>
      </c>
      <c r="I50" s="61">
        <v>0</v>
      </c>
      <c r="J50" s="61">
        <v>0</v>
      </c>
      <c r="K50" s="61">
        <v>0</v>
      </c>
      <c r="M50" s="72"/>
    </row>
    <row r="51" spans="1:30" ht="14.25" customHeight="1" thickBot="1" x14ac:dyDescent="0.25">
      <c r="A51" s="43" t="s">
        <v>113</v>
      </c>
      <c r="B51" s="61" t="s">
        <v>71</v>
      </c>
      <c r="C51" s="61"/>
      <c r="D51" s="72"/>
      <c r="E51" s="44"/>
      <c r="F51" s="44"/>
      <c r="G51" s="44"/>
      <c r="M51" s="44"/>
      <c r="S51" s="14"/>
      <c r="T51" s="66"/>
      <c r="U51" s="66"/>
      <c r="V51" s="66"/>
    </row>
    <row r="52" spans="1:30" ht="14.25" customHeight="1" thickBot="1" x14ac:dyDescent="0.25">
      <c r="A52" s="43" t="s">
        <v>114</v>
      </c>
      <c r="B52" s="61" t="s">
        <v>72</v>
      </c>
      <c r="C52" s="61"/>
      <c r="D52" s="44"/>
      <c r="H52" s="849" t="s">
        <v>142</v>
      </c>
      <c r="I52" s="849"/>
      <c r="J52" s="849"/>
      <c r="N52" s="14"/>
      <c r="S52" s="14"/>
      <c r="W52" s="66"/>
    </row>
    <row r="53" spans="1:30" ht="14.25" customHeight="1" thickBot="1" x14ac:dyDescent="0.25">
      <c r="A53" s="43" t="s">
        <v>109</v>
      </c>
      <c r="B53" s="61" t="s">
        <v>119</v>
      </c>
      <c r="C53" s="61"/>
      <c r="H53" s="849"/>
      <c r="I53" s="849"/>
      <c r="J53" s="849"/>
      <c r="N53" s="14"/>
      <c r="S53" s="14"/>
    </row>
    <row r="54" spans="1:30" ht="14.25" customHeight="1" x14ac:dyDescent="0.2">
      <c r="A54" s="43" t="s">
        <v>118</v>
      </c>
      <c r="B54" s="61" t="s">
        <v>110</v>
      </c>
      <c r="C54" s="61"/>
      <c r="N54" s="14"/>
      <c r="U54" s="66"/>
      <c r="V54" s="66"/>
      <c r="X54" s="66"/>
      <c r="AA54" s="47"/>
    </row>
    <row r="55" spans="1:30" x14ac:dyDescent="0.2">
      <c r="A55" s="72"/>
      <c r="B55" s="72"/>
      <c r="J55" s="42"/>
      <c r="K55" s="42"/>
      <c r="L55" s="42"/>
      <c r="M55" s="42"/>
      <c r="N55" s="42"/>
      <c r="O55" s="14"/>
      <c r="P55" s="14"/>
      <c r="Q55" s="14"/>
      <c r="R55" s="14"/>
      <c r="AA55" s="47"/>
    </row>
    <row r="56" spans="1:30" ht="29.25" customHeight="1" x14ac:dyDescent="0.2">
      <c r="A56" s="455" t="s">
        <v>38</v>
      </c>
      <c r="B56" s="455"/>
      <c r="C56" s="455"/>
      <c r="D56" s="455"/>
      <c r="E56" s="455"/>
      <c r="F56" s="455"/>
      <c r="G56" s="455"/>
      <c r="H56" s="455"/>
      <c r="I56" s="455"/>
      <c r="J56" s="455"/>
      <c r="K56" s="455"/>
      <c r="L56" s="455"/>
      <c r="M56" s="46"/>
      <c r="N56" s="46"/>
      <c r="O56" s="14"/>
      <c r="P56" s="14"/>
      <c r="Q56" s="14"/>
      <c r="R56" s="14"/>
      <c r="AA56" s="47"/>
    </row>
    <row r="57" spans="1:30" ht="15" customHeight="1" x14ac:dyDescent="0.2">
      <c r="A57" s="46"/>
      <c r="B57" s="46"/>
      <c r="C57" s="47"/>
      <c r="D57" s="47"/>
      <c r="E57" s="47"/>
      <c r="F57" s="47"/>
      <c r="G57" s="47"/>
      <c r="H57" s="46"/>
      <c r="I57" s="46"/>
      <c r="J57" s="46"/>
      <c r="K57" s="46"/>
      <c r="L57" s="46"/>
      <c r="M57" s="46"/>
      <c r="N57" s="46"/>
      <c r="O57" s="14"/>
      <c r="P57" s="14"/>
      <c r="Q57" s="14"/>
      <c r="R57" s="14"/>
      <c r="AA57" s="47"/>
    </row>
    <row r="58" spans="1:30" ht="42.75" customHeight="1" x14ac:dyDescent="0.2">
      <c r="A58" s="455" t="s">
        <v>39</v>
      </c>
      <c r="B58" s="455"/>
      <c r="C58" s="455"/>
      <c r="D58" s="455"/>
      <c r="E58" s="455"/>
      <c r="F58" s="455"/>
      <c r="G58" s="455"/>
      <c r="H58" s="455"/>
      <c r="I58" s="455"/>
      <c r="J58" s="455"/>
      <c r="K58" s="455"/>
      <c r="L58" s="455"/>
      <c r="M58" s="81"/>
      <c r="N58" s="81"/>
      <c r="S58" s="48"/>
      <c r="AA58" s="47"/>
    </row>
    <row r="59" spans="1:30" s="72" customFormat="1" ht="30.75" customHeight="1" x14ac:dyDescent="0.2">
      <c r="A59" s="455" t="s">
        <v>28</v>
      </c>
      <c r="B59" s="455"/>
      <c r="C59" s="455"/>
      <c r="D59" s="455"/>
      <c r="E59" s="455"/>
      <c r="F59" s="455"/>
      <c r="G59" s="455"/>
      <c r="H59" s="455"/>
      <c r="I59" s="455"/>
      <c r="J59" s="455"/>
      <c r="K59" s="455"/>
      <c r="L59" s="455"/>
      <c r="M59" s="75"/>
      <c r="N59" s="75"/>
      <c r="S59" s="57"/>
      <c r="W59" s="13"/>
      <c r="AB59" s="66"/>
      <c r="AC59" s="66"/>
      <c r="AD59" s="66"/>
    </row>
    <row r="60" spans="1:30" ht="30" customHeight="1" x14ac:dyDescent="0.2">
      <c r="A60" s="455" t="s">
        <v>29</v>
      </c>
      <c r="B60" s="455"/>
      <c r="C60" s="455"/>
      <c r="D60" s="455"/>
      <c r="E60" s="455"/>
      <c r="F60" s="455"/>
      <c r="G60" s="455"/>
      <c r="H60" s="455"/>
      <c r="I60" s="455"/>
      <c r="J60" s="455"/>
      <c r="K60" s="455"/>
      <c r="L60" s="455"/>
      <c r="M60" s="81"/>
      <c r="N60" s="81"/>
      <c r="S60" s="48"/>
      <c r="W60" s="47"/>
    </row>
    <row r="61" spans="1:30" ht="24" customHeight="1" x14ac:dyDescent="0.2">
      <c r="A61" s="81"/>
      <c r="B61" s="81"/>
      <c r="C61" s="81"/>
      <c r="D61" s="81"/>
      <c r="E61" s="81"/>
      <c r="F61" s="76"/>
      <c r="G61" s="76"/>
      <c r="H61" s="76"/>
      <c r="I61" s="76"/>
      <c r="J61" s="76"/>
      <c r="K61" s="76"/>
      <c r="L61" s="76"/>
      <c r="M61" s="76"/>
      <c r="S61" s="48"/>
      <c r="T61" s="47"/>
      <c r="U61" s="47"/>
      <c r="V61" s="47"/>
      <c r="W61" s="47"/>
      <c r="X61" s="47"/>
      <c r="Y61" s="47"/>
      <c r="Z61" s="47"/>
    </row>
    <row r="62" spans="1:30" s="47" customFormat="1" ht="31.5" customHeight="1" x14ac:dyDescent="0.2">
      <c r="A62" s="1"/>
      <c r="B62" s="458" t="s">
        <v>5</v>
      </c>
      <c r="C62" s="458"/>
      <c r="D62" s="458"/>
      <c r="E62" s="458"/>
      <c r="F62" s="458"/>
      <c r="G62" s="458"/>
      <c r="H62" s="458"/>
      <c r="I62" s="458"/>
      <c r="J62" s="458"/>
      <c r="K62" s="458"/>
      <c r="L62" s="76"/>
      <c r="M62" s="76"/>
      <c r="N62" s="1"/>
      <c r="O62" s="48"/>
      <c r="P62" s="48"/>
      <c r="Q62" s="48"/>
      <c r="R62" s="48"/>
      <c r="S62" s="48"/>
      <c r="AA62" s="1"/>
      <c r="AB62" s="66"/>
      <c r="AC62" s="66"/>
      <c r="AD62" s="66"/>
    </row>
    <row r="63" spans="1:30" s="47" customFormat="1" ht="19.5" x14ac:dyDescent="0.2">
      <c r="A63" s="1"/>
      <c r="B63" s="76"/>
      <c r="C63" s="76"/>
      <c r="D63" s="76"/>
      <c r="E63" s="76"/>
      <c r="F63" s="1"/>
      <c r="G63" s="1"/>
      <c r="H63" s="1"/>
      <c r="I63" s="1"/>
      <c r="J63" s="1"/>
      <c r="K63" s="1"/>
      <c r="L63" s="1"/>
      <c r="M63" s="1"/>
      <c r="N63" s="1"/>
      <c r="O63" s="48"/>
      <c r="P63" s="48"/>
      <c r="Q63" s="48"/>
      <c r="R63" s="48"/>
      <c r="S63" s="14"/>
      <c r="AA63" s="1"/>
      <c r="AB63" s="66"/>
      <c r="AC63" s="66"/>
      <c r="AD63" s="66"/>
    </row>
    <row r="64" spans="1:30" s="47" customFormat="1" ht="29.25" customHeight="1" x14ac:dyDescent="0.2">
      <c r="A64" s="66"/>
      <c r="B64" s="66"/>
      <c r="C64" s="11" t="s">
        <v>11</v>
      </c>
      <c r="D64" s="12" t="s">
        <v>6</v>
      </c>
      <c r="E64" s="12" t="s">
        <v>7</v>
      </c>
      <c r="F64" s="12" t="s">
        <v>8</v>
      </c>
      <c r="G64" s="12" t="s">
        <v>9</v>
      </c>
      <c r="H64" s="12" t="s">
        <v>10</v>
      </c>
      <c r="I64" s="29" t="s">
        <v>80</v>
      </c>
      <c r="J64" s="29" t="s">
        <v>81</v>
      </c>
      <c r="K64" s="29" t="s">
        <v>123</v>
      </c>
      <c r="L64" s="1"/>
      <c r="M64" s="1"/>
      <c r="N64" s="1"/>
      <c r="O64" s="48"/>
      <c r="P64" s="48"/>
      <c r="Q64" s="48"/>
      <c r="R64" s="48"/>
      <c r="S64" s="14"/>
      <c r="W64" s="72"/>
      <c r="AA64" s="1"/>
      <c r="AB64" s="66"/>
      <c r="AC64" s="66"/>
      <c r="AD64" s="66"/>
    </row>
    <row r="65" spans="1:30" s="47" customFormat="1" ht="25.5" customHeight="1" x14ac:dyDescent="0.2">
      <c r="A65" s="49"/>
      <c r="B65" s="66"/>
      <c r="C65" s="6" t="s">
        <v>124</v>
      </c>
      <c r="D65" s="33"/>
      <c r="E65" s="33"/>
      <c r="F65" s="33"/>
      <c r="G65" s="33"/>
      <c r="H65" s="33"/>
      <c r="I65" s="38">
        <f>SUM(D65:H65)/5</f>
        <v>0</v>
      </c>
      <c r="J65" s="38">
        <v>0.44800000000000006</v>
      </c>
      <c r="K65" s="38">
        <f>J65-I65</f>
        <v>0.44800000000000006</v>
      </c>
      <c r="L65" s="1"/>
      <c r="M65" s="1"/>
      <c r="N65" s="1"/>
      <c r="O65" s="48"/>
      <c r="P65" s="48"/>
      <c r="Q65" s="48"/>
      <c r="R65" s="48"/>
      <c r="S65" s="14"/>
      <c r="W65" s="72"/>
      <c r="AA65" s="1"/>
      <c r="AB65" s="66"/>
      <c r="AC65" s="66"/>
      <c r="AD65" s="66"/>
    </row>
    <row r="66" spans="1:30" s="47" customFormat="1" ht="25.5" customHeight="1" x14ac:dyDescent="0.2">
      <c r="A66" s="49"/>
      <c r="B66" s="66"/>
      <c r="C66" s="6" t="s">
        <v>33</v>
      </c>
      <c r="D66" s="33"/>
      <c r="E66" s="33"/>
      <c r="F66" s="33"/>
      <c r="G66" s="33"/>
      <c r="H66" s="33"/>
      <c r="I66" s="38">
        <f t="shared" ref="I66:I72" si="0">SUM(D66:H66)/5</f>
        <v>0</v>
      </c>
      <c r="J66" s="38">
        <v>3.9660000000000002</v>
      </c>
      <c r="K66" s="38">
        <f>J66-I66</f>
        <v>3.9660000000000002</v>
      </c>
      <c r="L66" s="1"/>
      <c r="M66" s="1"/>
      <c r="N66" s="1"/>
      <c r="O66" s="48"/>
      <c r="P66" s="48"/>
      <c r="Q66" s="48"/>
      <c r="R66" s="48"/>
      <c r="S66" s="1"/>
      <c r="T66" s="1"/>
      <c r="U66" s="1"/>
      <c r="V66" s="72"/>
      <c r="W66" s="72"/>
      <c r="X66" s="1"/>
      <c r="Y66" s="1"/>
      <c r="Z66" s="1"/>
      <c r="AA66" s="1"/>
      <c r="AB66" s="66"/>
      <c r="AC66" s="66"/>
      <c r="AD66" s="66"/>
    </row>
    <row r="67" spans="1:30" ht="25.5" customHeight="1" x14ac:dyDescent="0.2">
      <c r="A67" s="49"/>
      <c r="B67" s="66"/>
      <c r="C67" s="6" t="s">
        <v>32</v>
      </c>
      <c r="D67" s="33"/>
      <c r="E67" s="33"/>
      <c r="F67" s="33"/>
      <c r="G67" s="33"/>
      <c r="H67" s="33"/>
      <c r="I67" s="38">
        <f t="shared" si="0"/>
        <v>0</v>
      </c>
      <c r="J67" s="61">
        <v>4.6820000000000004</v>
      </c>
      <c r="K67" s="38">
        <f t="shared" ref="K67:K72" si="1">J67-I67</f>
        <v>4.6820000000000004</v>
      </c>
      <c r="O67" s="14"/>
      <c r="P67" s="14"/>
      <c r="Q67" s="14"/>
      <c r="R67" s="14"/>
      <c r="V67" s="72"/>
    </row>
    <row r="68" spans="1:30" ht="25.5" customHeight="1" x14ac:dyDescent="0.2">
      <c r="A68" s="49"/>
      <c r="B68" s="50"/>
      <c r="C68" s="7" t="s">
        <v>34</v>
      </c>
      <c r="D68" s="34"/>
      <c r="E68" s="34"/>
      <c r="F68" s="34"/>
      <c r="G68" s="34"/>
      <c r="H68" s="34"/>
      <c r="I68" s="38">
        <f t="shared" si="0"/>
        <v>0</v>
      </c>
      <c r="J68" s="28">
        <v>3.6700000000000004</v>
      </c>
      <c r="K68" s="38">
        <f t="shared" si="1"/>
        <v>3.6700000000000004</v>
      </c>
      <c r="O68" s="14"/>
      <c r="P68" s="14"/>
      <c r="Q68" s="14"/>
      <c r="R68" s="14"/>
      <c r="V68" s="72"/>
    </row>
    <row r="69" spans="1:30" ht="25.5" customHeight="1" x14ac:dyDescent="0.2">
      <c r="A69" s="49"/>
      <c r="B69" s="50"/>
      <c r="C69" s="7" t="s">
        <v>35</v>
      </c>
      <c r="D69" s="34"/>
      <c r="E69" s="8"/>
      <c r="F69" s="8"/>
      <c r="G69" s="8"/>
      <c r="H69" s="8"/>
      <c r="I69" s="38">
        <f t="shared" si="0"/>
        <v>0</v>
      </c>
      <c r="J69" s="28">
        <v>11.296000000000001</v>
      </c>
      <c r="K69" s="38">
        <f t="shared" si="1"/>
        <v>11.296000000000001</v>
      </c>
      <c r="O69" s="14"/>
      <c r="P69" s="14"/>
      <c r="Q69" s="14"/>
      <c r="R69" s="14"/>
    </row>
    <row r="70" spans="1:30" ht="25.5" customHeight="1" x14ac:dyDescent="0.2">
      <c r="A70" s="49"/>
      <c r="B70" s="50"/>
      <c r="C70" s="9" t="s">
        <v>37</v>
      </c>
      <c r="D70" s="35"/>
      <c r="E70" s="35"/>
      <c r="F70" s="35"/>
      <c r="G70" s="35"/>
      <c r="H70" s="35"/>
      <c r="I70" s="38">
        <f t="shared" si="0"/>
        <v>0</v>
      </c>
      <c r="J70" s="32">
        <v>2</v>
      </c>
      <c r="K70" s="38">
        <f t="shared" si="1"/>
        <v>2</v>
      </c>
    </row>
    <row r="71" spans="1:30" ht="25.5" customHeight="1" x14ac:dyDescent="0.2">
      <c r="A71" s="49"/>
      <c r="B71" s="50"/>
      <c r="C71" s="10" t="s">
        <v>17</v>
      </c>
      <c r="D71" s="36"/>
      <c r="E71" s="37"/>
      <c r="F71" s="37"/>
      <c r="G71" s="37"/>
      <c r="H71" s="37"/>
      <c r="I71" s="38">
        <f t="shared" si="0"/>
        <v>0</v>
      </c>
      <c r="J71" s="28">
        <v>3</v>
      </c>
      <c r="K71" s="38">
        <f t="shared" si="1"/>
        <v>3</v>
      </c>
    </row>
    <row r="72" spans="1:30" ht="25.5" customHeight="1" x14ac:dyDescent="0.2">
      <c r="A72" s="49"/>
      <c r="B72" s="50"/>
      <c r="C72" s="10" t="s">
        <v>36</v>
      </c>
      <c r="D72" s="36"/>
      <c r="E72" s="37"/>
      <c r="F72" s="37"/>
      <c r="G72" s="37"/>
      <c r="H72" s="37"/>
      <c r="I72" s="38">
        <f t="shared" si="0"/>
        <v>0</v>
      </c>
      <c r="J72" s="28">
        <v>62.003999999999998</v>
      </c>
      <c r="K72" s="38">
        <f t="shared" si="1"/>
        <v>62.003999999999998</v>
      </c>
    </row>
    <row r="74" spans="1:30" ht="30" x14ac:dyDescent="0.2">
      <c r="B74" s="77"/>
      <c r="C74" s="77"/>
      <c r="D74" s="77"/>
      <c r="E74" s="779" t="s">
        <v>54</v>
      </c>
      <c r="F74" s="779"/>
      <c r="G74" s="779"/>
      <c r="H74" s="779"/>
      <c r="I74" s="77"/>
      <c r="J74" s="77"/>
      <c r="K74" s="77"/>
      <c r="L74" s="77"/>
      <c r="M74" s="77"/>
      <c r="N74" s="77"/>
    </row>
    <row r="75" spans="1:30" ht="18.75" customHeight="1" x14ac:dyDescent="0.2">
      <c r="A75" s="5"/>
      <c r="B75" s="784" t="s">
        <v>23</v>
      </c>
      <c r="C75" s="784"/>
      <c r="D75" s="5"/>
      <c r="F75" s="784" t="s">
        <v>19</v>
      </c>
      <c r="G75" s="784"/>
      <c r="H75" s="5"/>
      <c r="J75" s="784" t="s">
        <v>83</v>
      </c>
      <c r="K75" s="784"/>
      <c r="L75" s="16"/>
      <c r="M75" s="5"/>
      <c r="N75" s="5"/>
    </row>
    <row r="76" spans="1:30" ht="18.75" customHeight="1" x14ac:dyDescent="0.2">
      <c r="B76" s="15" t="s">
        <v>56</v>
      </c>
      <c r="C76" s="15" t="s">
        <v>57</v>
      </c>
      <c r="F76" s="15" t="s">
        <v>56</v>
      </c>
      <c r="G76" s="15" t="s">
        <v>57</v>
      </c>
      <c r="J76" s="15" t="s">
        <v>56</v>
      </c>
      <c r="K76" s="15" t="s">
        <v>57</v>
      </c>
      <c r="S76" s="72"/>
    </row>
    <row r="77" spans="1:30" ht="18.75" customHeight="1" x14ac:dyDescent="0.2">
      <c r="B77" s="18">
        <v>1</v>
      </c>
      <c r="C77" s="17">
        <f>(G37)/100</f>
        <v>0</v>
      </c>
      <c r="F77" s="18">
        <v>0.83</v>
      </c>
      <c r="G77" s="17">
        <f>(H35)/100</f>
        <v>0</v>
      </c>
      <c r="J77" s="17">
        <v>0.4</v>
      </c>
      <c r="K77" s="17">
        <f>(F37)/100</f>
        <v>0</v>
      </c>
      <c r="S77" s="72"/>
    </row>
    <row r="78" spans="1:30" ht="14.25" customHeight="1" x14ac:dyDescent="0.2">
      <c r="S78" s="72"/>
    </row>
    <row r="79" spans="1:30" x14ac:dyDescent="0.2">
      <c r="A79" s="19"/>
      <c r="B79" s="19"/>
      <c r="C79" s="19"/>
      <c r="D79" s="19"/>
      <c r="E79" s="19"/>
      <c r="F79" s="19"/>
      <c r="G79" s="19"/>
      <c r="H79" s="19"/>
      <c r="K79" s="19"/>
      <c r="L79" s="19"/>
      <c r="M79" s="19"/>
      <c r="N79" s="19"/>
      <c r="S79" s="72"/>
    </row>
    <row r="80" spans="1:30" x14ac:dyDescent="0.2">
      <c r="A80" s="520" t="s">
        <v>143</v>
      </c>
      <c r="B80" s="520"/>
      <c r="C80" s="520"/>
      <c r="D80" s="520"/>
      <c r="E80" s="520"/>
      <c r="F80" s="520"/>
      <c r="G80" s="520"/>
      <c r="H80" s="520"/>
      <c r="I80" s="520"/>
      <c r="J80" s="520"/>
      <c r="K80" s="520"/>
      <c r="L80" s="520"/>
      <c r="M80" s="520"/>
      <c r="N80" s="520"/>
      <c r="O80" s="72"/>
      <c r="P80" s="72"/>
      <c r="Q80" s="72"/>
      <c r="R80" s="72"/>
      <c r="S80" s="72"/>
    </row>
    <row r="81" spans="1:18" ht="14.25" customHeight="1" x14ac:dyDescent="0.2">
      <c r="A81" s="524" t="s">
        <v>165</v>
      </c>
      <c r="B81" s="524"/>
      <c r="C81" s="524"/>
      <c r="D81" s="524"/>
      <c r="E81" s="524"/>
      <c r="F81" s="524"/>
      <c r="G81" s="524"/>
      <c r="H81" s="524"/>
      <c r="I81" s="524"/>
      <c r="J81" s="524"/>
      <c r="K81" s="524"/>
      <c r="L81" s="524"/>
      <c r="M81" s="524"/>
      <c r="N81" s="524"/>
      <c r="O81" s="72"/>
      <c r="P81" s="72"/>
      <c r="Q81" s="72"/>
      <c r="R81" s="72"/>
    </row>
    <row r="82" spans="1:18" x14ac:dyDescent="0.2">
      <c r="O82" s="72"/>
      <c r="P82" s="72"/>
      <c r="Q82" s="72"/>
      <c r="R82" s="72"/>
    </row>
    <row r="83" spans="1:18" x14ac:dyDescent="0.2">
      <c r="B83" s="520" t="s">
        <v>15</v>
      </c>
      <c r="C83" s="520"/>
      <c r="D83" s="520"/>
      <c r="E83" s="520"/>
      <c r="F83" s="520"/>
      <c r="G83" s="520"/>
      <c r="H83" s="520"/>
      <c r="I83" s="520"/>
      <c r="J83" s="520"/>
      <c r="K83" s="520"/>
      <c r="O83" s="72"/>
      <c r="P83" s="72"/>
      <c r="Q83" s="72"/>
      <c r="R83" s="72"/>
    </row>
    <row r="84" spans="1:18" ht="15" customHeight="1" x14ac:dyDescent="0.2">
      <c r="B84" s="1" t="s">
        <v>16</v>
      </c>
      <c r="M84" s="72"/>
      <c r="N84" s="72"/>
      <c r="O84" s="72"/>
      <c r="P84" s="72"/>
      <c r="Q84" s="72"/>
      <c r="R84" s="72"/>
    </row>
  </sheetData>
  <mergeCells count="194">
    <mergeCell ref="A81:N81"/>
    <mergeCell ref="B83:K83"/>
    <mergeCell ref="A58:L58"/>
    <mergeCell ref="A59:L59"/>
    <mergeCell ref="A60:L60"/>
    <mergeCell ref="B62:K62"/>
    <mergeCell ref="E74:H74"/>
    <mergeCell ref="B75:C75"/>
    <mergeCell ref="F75:G75"/>
    <mergeCell ref="J75:K75"/>
    <mergeCell ref="A48:C48"/>
    <mergeCell ref="G48:G49"/>
    <mergeCell ref="H52:J53"/>
    <mergeCell ref="A39:C39"/>
    <mergeCell ref="E39:M39"/>
    <mergeCell ref="P42:R42"/>
    <mergeCell ref="T42:V42"/>
    <mergeCell ref="A56:L56"/>
    <mergeCell ref="A80:N80"/>
    <mergeCell ref="X42:Z42"/>
    <mergeCell ref="F43:G43"/>
    <mergeCell ref="K43:L43"/>
    <mergeCell ref="P43:Q43"/>
    <mergeCell ref="T43:U43"/>
    <mergeCell ref="X43:Y43"/>
    <mergeCell ref="T45:V45"/>
    <mergeCell ref="T46:V46"/>
    <mergeCell ref="G47:K47"/>
    <mergeCell ref="A35:A36"/>
    <mergeCell ref="F33:F34"/>
    <mergeCell ref="H33:H34"/>
    <mergeCell ref="I33:J33"/>
    <mergeCell ref="H35:H36"/>
    <mergeCell ref="K33:L33"/>
    <mergeCell ref="M33:N33"/>
    <mergeCell ref="I34:J34"/>
    <mergeCell ref="K34:L34"/>
    <mergeCell ref="M34:N34"/>
    <mergeCell ref="A33:A34"/>
    <mergeCell ref="B33:B34"/>
    <mergeCell ref="C33:C34"/>
    <mergeCell ref="D33:D34"/>
    <mergeCell ref="E33:E34"/>
    <mergeCell ref="I35:J36"/>
    <mergeCell ref="K35:L36"/>
    <mergeCell ref="M35:N36"/>
    <mergeCell ref="I31:J31"/>
    <mergeCell ref="K31:L31"/>
    <mergeCell ref="M31:N31"/>
    <mergeCell ref="I32:J32"/>
    <mergeCell ref="K32:L32"/>
    <mergeCell ref="M32:N32"/>
    <mergeCell ref="T30:V30"/>
    <mergeCell ref="AB30:AD30"/>
    <mergeCell ref="A31:A32"/>
    <mergeCell ref="B31:B32"/>
    <mergeCell ref="C31:C32"/>
    <mergeCell ref="D31:D32"/>
    <mergeCell ref="E31:E32"/>
    <mergeCell ref="F31:F32"/>
    <mergeCell ref="H31:H32"/>
    <mergeCell ref="F29:F30"/>
    <mergeCell ref="H29:H30"/>
    <mergeCell ref="I29:J29"/>
    <mergeCell ref="K29:L29"/>
    <mergeCell ref="M29:N29"/>
    <mergeCell ref="AB29:AC29"/>
    <mergeCell ref="I30:J30"/>
    <mergeCell ref="K30:L30"/>
    <mergeCell ref="M30:N30"/>
    <mergeCell ref="P30:R30"/>
    <mergeCell ref="A29:A30"/>
    <mergeCell ref="B29:B30"/>
    <mergeCell ref="C29:C30"/>
    <mergeCell ref="D29:D30"/>
    <mergeCell ref="E29:E30"/>
    <mergeCell ref="I27:J27"/>
    <mergeCell ref="K27:L27"/>
    <mergeCell ref="M27:N27"/>
    <mergeCell ref="I28:J28"/>
    <mergeCell ref="K28:L28"/>
    <mergeCell ref="M28:N28"/>
    <mergeCell ref="T26:V26"/>
    <mergeCell ref="AB26:AD26"/>
    <mergeCell ref="A27:A28"/>
    <mergeCell ref="B27:B28"/>
    <mergeCell ref="C27:C28"/>
    <mergeCell ref="D27:D28"/>
    <mergeCell ref="E27:E28"/>
    <mergeCell ref="F27:F28"/>
    <mergeCell ref="H27:H28"/>
    <mergeCell ref="F25:F26"/>
    <mergeCell ref="H25:H26"/>
    <mergeCell ref="I25:J25"/>
    <mergeCell ref="K25:L25"/>
    <mergeCell ref="M25:N25"/>
    <mergeCell ref="AB25:AC25"/>
    <mergeCell ref="I26:J26"/>
    <mergeCell ref="K26:L26"/>
    <mergeCell ref="M26:N26"/>
    <mergeCell ref="P26:R26"/>
    <mergeCell ref="A25:A26"/>
    <mergeCell ref="B25:B26"/>
    <mergeCell ref="C25:C26"/>
    <mergeCell ref="D25:D26"/>
    <mergeCell ref="E25:E26"/>
    <mergeCell ref="F23:F24"/>
    <mergeCell ref="H23:H24"/>
    <mergeCell ref="I23:J23"/>
    <mergeCell ref="K23:L23"/>
    <mergeCell ref="M23:N23"/>
    <mergeCell ref="I24:J24"/>
    <mergeCell ref="K24:L24"/>
    <mergeCell ref="M24:N24"/>
    <mergeCell ref="A23:A24"/>
    <mergeCell ref="B23:B24"/>
    <mergeCell ref="C23:C24"/>
    <mergeCell ref="D23:D24"/>
    <mergeCell ref="E23:E24"/>
    <mergeCell ref="G23:G24"/>
    <mergeCell ref="K21:L21"/>
    <mergeCell ref="M21:N21"/>
    <mergeCell ref="P21:R21"/>
    <mergeCell ref="T21:V21"/>
    <mergeCell ref="AB21:AD21"/>
    <mergeCell ref="I22:J22"/>
    <mergeCell ref="K22:L22"/>
    <mergeCell ref="M22:N22"/>
    <mergeCell ref="AB20:AC20"/>
    <mergeCell ref="A21:A22"/>
    <mergeCell ref="B21:B22"/>
    <mergeCell ref="C21:C22"/>
    <mergeCell ref="D21:D22"/>
    <mergeCell ref="E21:E22"/>
    <mergeCell ref="F21:F22"/>
    <mergeCell ref="H21:H22"/>
    <mergeCell ref="I21:J21"/>
    <mergeCell ref="F19:F20"/>
    <mergeCell ref="H19:H20"/>
    <mergeCell ref="I19:J19"/>
    <mergeCell ref="G21:G22"/>
    <mergeCell ref="AB17:AD17"/>
    <mergeCell ref="I18:J18"/>
    <mergeCell ref="K18:L18"/>
    <mergeCell ref="M18:N18"/>
    <mergeCell ref="M10:N10"/>
    <mergeCell ref="A12:N13"/>
    <mergeCell ref="P13:R13"/>
    <mergeCell ref="T13:V13"/>
    <mergeCell ref="X13:Z13"/>
    <mergeCell ref="AB13:AD13"/>
    <mergeCell ref="AB1:AD1"/>
    <mergeCell ref="AE1:AF1"/>
    <mergeCell ref="M2:N2"/>
    <mergeCell ref="AB5:AD5"/>
    <mergeCell ref="C6:K6"/>
    <mergeCell ref="M6:N6"/>
    <mergeCell ref="M7:N8"/>
    <mergeCell ref="C8:K9"/>
    <mergeCell ref="M9:N9"/>
    <mergeCell ref="P9:R9"/>
    <mergeCell ref="T9:V9"/>
    <mergeCell ref="X9:Z9"/>
    <mergeCell ref="AB9:AD9"/>
    <mergeCell ref="B4:L5"/>
    <mergeCell ref="M4:N4"/>
    <mergeCell ref="M5:N5"/>
    <mergeCell ref="P5:R5"/>
    <mergeCell ref="T5:V5"/>
    <mergeCell ref="X5:Z5"/>
    <mergeCell ref="G25:G26"/>
    <mergeCell ref="G27:G28"/>
    <mergeCell ref="G29:G30"/>
    <mergeCell ref="G31:G32"/>
    <mergeCell ref="G33:G34"/>
    <mergeCell ref="B35:G36"/>
    <mergeCell ref="P1:R1"/>
    <mergeCell ref="T1:V1"/>
    <mergeCell ref="X1:Z1"/>
    <mergeCell ref="A14:N14"/>
    <mergeCell ref="A16:N16"/>
    <mergeCell ref="P17:R17"/>
    <mergeCell ref="T17:V17"/>
    <mergeCell ref="K19:L19"/>
    <mergeCell ref="M19:N19"/>
    <mergeCell ref="I20:J20"/>
    <mergeCell ref="K20:L20"/>
    <mergeCell ref="M20:N20"/>
    <mergeCell ref="A19:A20"/>
    <mergeCell ref="B19:B20"/>
    <mergeCell ref="C19:C20"/>
    <mergeCell ref="D19:D20"/>
    <mergeCell ref="E19:E20"/>
    <mergeCell ref="G19:G20"/>
  </mergeCells>
  <pageMargins left="0.25" right="0.25" top="0.75" bottom="0.75" header="0.3" footer="0.3"/>
  <pageSetup paperSize="5"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0373D-51A9-42FD-9D9D-AD311CB9B932}">
  <sheetPr codeName="Hoja6"/>
  <dimension ref="A1:AF84"/>
  <sheetViews>
    <sheetView topLeftCell="A60" zoomScale="70" zoomScaleNormal="70" workbookViewId="0">
      <selection activeCell="A64" sqref="A64:L77"/>
    </sheetView>
  </sheetViews>
  <sheetFormatPr baseColWidth="10" defaultRowHeight="14.25" x14ac:dyDescent="0.2"/>
  <cols>
    <col min="1" max="1" width="18.5703125" style="1" customWidth="1"/>
    <col min="2" max="8" width="8.7109375" style="1" customWidth="1"/>
    <col min="9" max="9" width="10.28515625" style="1" customWidth="1"/>
    <col min="10" max="10" width="10.7109375" style="1" customWidth="1"/>
    <col min="11" max="14" width="10.28515625" style="1" customWidth="1"/>
    <col min="15" max="15" width="4" style="1" customWidth="1"/>
    <col min="16" max="18" width="6.85546875" style="1" customWidth="1"/>
    <col min="19" max="19" width="2.7109375" style="1" customWidth="1"/>
    <col min="20" max="22" width="6.7109375" style="1" customWidth="1"/>
    <col min="23" max="23" width="2.5703125" style="1" customWidth="1"/>
    <col min="24" max="26" width="6.7109375" style="1" customWidth="1"/>
    <col min="27" max="27" width="2.7109375" style="1" customWidth="1"/>
    <col min="28" max="30" width="6.7109375" style="66" customWidth="1"/>
    <col min="31" max="31" width="2.7109375" style="1" customWidth="1"/>
    <col min="32" max="16384" width="11.42578125" style="1"/>
  </cols>
  <sheetData>
    <row r="1" spans="1:32" x14ac:dyDescent="0.2">
      <c r="P1" s="525" t="s">
        <v>93</v>
      </c>
      <c r="Q1" s="525"/>
      <c r="R1" s="525"/>
      <c r="T1" s="525" t="s">
        <v>85</v>
      </c>
      <c r="U1" s="525"/>
      <c r="V1" s="525"/>
      <c r="W1" s="72"/>
      <c r="X1" s="525" t="s">
        <v>101</v>
      </c>
      <c r="Y1" s="525"/>
      <c r="Z1" s="525"/>
      <c r="AB1" s="520" t="s">
        <v>60</v>
      </c>
      <c r="AC1" s="520"/>
      <c r="AD1" s="520"/>
      <c r="AE1" s="520" t="s">
        <v>104</v>
      </c>
      <c r="AF1" s="520"/>
    </row>
    <row r="2" spans="1:32" ht="15" customHeight="1" x14ac:dyDescent="0.2">
      <c r="M2" s="520" t="s">
        <v>167</v>
      </c>
      <c r="N2" s="520"/>
      <c r="O2" s="72"/>
      <c r="P2" s="72" t="s">
        <v>46</v>
      </c>
      <c r="Q2" s="72" t="s">
        <v>14</v>
      </c>
      <c r="R2" s="72" t="s">
        <v>13</v>
      </c>
      <c r="S2" s="72"/>
      <c r="T2" s="72" t="s">
        <v>46</v>
      </c>
      <c r="U2" s="72" t="s">
        <v>14</v>
      </c>
      <c r="V2" s="72" t="s">
        <v>13</v>
      </c>
      <c r="W2" s="72"/>
      <c r="X2" s="72" t="s">
        <v>46</v>
      </c>
      <c r="Y2" s="72" t="s">
        <v>14</v>
      </c>
      <c r="Z2" s="72" t="s">
        <v>13</v>
      </c>
      <c r="AB2" s="4" t="s">
        <v>20</v>
      </c>
      <c r="AC2" s="3">
        <f>(U3)*10</f>
        <v>0</v>
      </c>
      <c r="AD2" s="39">
        <f>(10*AC2)/10</f>
        <v>0</v>
      </c>
    </row>
    <row r="3" spans="1:32" ht="15" customHeight="1" x14ac:dyDescent="0.2">
      <c r="P3" s="72">
        <v>5</v>
      </c>
      <c r="Q3" s="72">
        <v>0</v>
      </c>
      <c r="R3" s="72">
        <f>(P3-Q3)</f>
        <v>5</v>
      </c>
      <c r="T3" s="72">
        <v>8</v>
      </c>
      <c r="U3" s="72">
        <v>0</v>
      </c>
      <c r="V3" s="72">
        <f>(T3-U3)</f>
        <v>8</v>
      </c>
      <c r="W3" s="72"/>
      <c r="X3" s="72">
        <v>7</v>
      </c>
      <c r="Y3" s="72">
        <v>0</v>
      </c>
      <c r="Z3" s="72">
        <f>(X3-Y3)</f>
        <v>7</v>
      </c>
      <c r="AB3" s="4" t="s">
        <v>21</v>
      </c>
      <c r="AC3" s="3">
        <f>(Q3)*10</f>
        <v>0</v>
      </c>
      <c r="AD3" s="39">
        <f>(10*AC3)/10</f>
        <v>0</v>
      </c>
    </row>
    <row r="4" spans="1:32" ht="15" customHeight="1" x14ac:dyDescent="0.25">
      <c r="B4" s="452" t="s">
        <v>25</v>
      </c>
      <c r="C4" s="452"/>
      <c r="D4" s="452"/>
      <c r="E4" s="452"/>
      <c r="F4" s="452"/>
      <c r="G4" s="452"/>
      <c r="H4" s="452"/>
      <c r="I4" s="452"/>
      <c r="J4" s="452"/>
      <c r="K4" s="452"/>
      <c r="L4" s="452"/>
      <c r="M4" s="762" t="s">
        <v>0</v>
      </c>
      <c r="N4" s="762"/>
      <c r="O4" s="22"/>
      <c r="P4" s="72"/>
      <c r="Q4" s="72"/>
      <c r="R4" s="72"/>
      <c r="S4" s="22"/>
      <c r="T4" s="72"/>
      <c r="U4" s="72"/>
      <c r="V4" s="72"/>
      <c r="W4" s="72"/>
      <c r="X4" s="72"/>
      <c r="Y4" s="72"/>
      <c r="AB4" s="4" t="s">
        <v>22</v>
      </c>
      <c r="AC4" s="3">
        <f>(Y3)*10</f>
        <v>0</v>
      </c>
      <c r="AD4" s="39">
        <f>(10*AC4)/10</f>
        <v>0</v>
      </c>
    </row>
    <row r="5" spans="1:32" ht="15" customHeight="1" x14ac:dyDescent="0.2">
      <c r="B5" s="452"/>
      <c r="C5" s="452"/>
      <c r="D5" s="452"/>
      <c r="E5" s="452"/>
      <c r="F5" s="452"/>
      <c r="G5" s="452"/>
      <c r="H5" s="452"/>
      <c r="I5" s="452"/>
      <c r="J5" s="452"/>
      <c r="K5" s="452"/>
      <c r="L5" s="452"/>
      <c r="M5" s="763" t="s">
        <v>168</v>
      </c>
      <c r="N5" s="763"/>
      <c r="O5" s="66"/>
      <c r="P5" s="525" t="s">
        <v>94</v>
      </c>
      <c r="Q5" s="525"/>
      <c r="R5" s="525"/>
      <c r="S5" s="66"/>
      <c r="T5" s="525" t="s">
        <v>86</v>
      </c>
      <c r="U5" s="525"/>
      <c r="V5" s="525"/>
      <c r="X5" s="525" t="s">
        <v>84</v>
      </c>
      <c r="Y5" s="525"/>
      <c r="Z5" s="525"/>
      <c r="AB5" s="525" t="s">
        <v>52</v>
      </c>
      <c r="AC5" s="525"/>
      <c r="AD5" s="525"/>
    </row>
    <row r="6" spans="1:32" ht="15" customHeight="1" x14ac:dyDescent="0.2">
      <c r="C6" s="764" t="s">
        <v>127</v>
      </c>
      <c r="D6" s="764"/>
      <c r="E6" s="764"/>
      <c r="F6" s="764"/>
      <c r="G6" s="764"/>
      <c r="H6" s="764"/>
      <c r="I6" s="764"/>
      <c r="J6" s="764"/>
      <c r="K6" s="764"/>
      <c r="M6" s="468" t="s">
        <v>31</v>
      </c>
      <c r="N6" s="468"/>
      <c r="O6" s="73"/>
      <c r="P6" s="72" t="s">
        <v>46</v>
      </c>
      <c r="Q6" s="72" t="s">
        <v>14</v>
      </c>
      <c r="R6" s="72" t="s">
        <v>13</v>
      </c>
      <c r="S6" s="73"/>
      <c r="T6" s="72" t="s">
        <v>46</v>
      </c>
      <c r="U6" s="72" t="s">
        <v>14</v>
      </c>
      <c r="V6" s="72" t="s">
        <v>13</v>
      </c>
      <c r="W6" s="72"/>
      <c r="X6" s="72" t="s">
        <v>46</v>
      </c>
      <c r="Y6" s="72" t="s">
        <v>14</v>
      </c>
      <c r="Z6" s="72" t="s">
        <v>13</v>
      </c>
      <c r="AB6" s="4" t="s">
        <v>20</v>
      </c>
      <c r="AC6" s="3">
        <f>(U7)*10</f>
        <v>0</v>
      </c>
      <c r="AD6" s="39">
        <f>(10*AC6)/10</f>
        <v>0</v>
      </c>
    </row>
    <row r="7" spans="1:32" ht="14.25" customHeight="1" x14ac:dyDescent="0.2">
      <c r="M7" s="760">
        <f>(B37+C37+D37)/3</f>
        <v>0</v>
      </c>
      <c r="N7" s="760"/>
      <c r="O7" s="23"/>
      <c r="P7" s="72">
        <v>17</v>
      </c>
      <c r="Q7" s="72">
        <v>0</v>
      </c>
      <c r="R7" s="72">
        <f>(P7-Q7)</f>
        <v>17</v>
      </c>
      <c r="S7" s="23"/>
      <c r="T7" s="72">
        <v>16</v>
      </c>
      <c r="U7" s="72">
        <v>0</v>
      </c>
      <c r="V7" s="72">
        <f>(T7-U7)</f>
        <v>16</v>
      </c>
      <c r="W7" s="72"/>
      <c r="X7" s="72">
        <v>7</v>
      </c>
      <c r="Y7" s="72">
        <v>0</v>
      </c>
      <c r="Z7" s="72">
        <f>(X7-Y7)</f>
        <v>7</v>
      </c>
      <c r="AB7" s="4" t="s">
        <v>21</v>
      </c>
      <c r="AC7" s="3">
        <f>(Q7)*10</f>
        <v>0</v>
      </c>
      <c r="AD7" s="39">
        <f>(10*AC7)/10</f>
        <v>0</v>
      </c>
    </row>
    <row r="8" spans="1:32" ht="14.25" customHeight="1" x14ac:dyDescent="0.2">
      <c r="C8" s="458" t="s">
        <v>30</v>
      </c>
      <c r="D8" s="458"/>
      <c r="E8" s="458"/>
      <c r="F8" s="458"/>
      <c r="G8" s="458"/>
      <c r="H8" s="458"/>
      <c r="I8" s="458"/>
      <c r="J8" s="458"/>
      <c r="K8" s="458"/>
      <c r="M8" s="760"/>
      <c r="N8" s="760"/>
      <c r="O8" s="24"/>
      <c r="S8" s="24"/>
      <c r="W8" s="72"/>
      <c r="AB8" s="4" t="s">
        <v>22</v>
      </c>
      <c r="AC8" s="3">
        <f>(Y7)*10</f>
        <v>0</v>
      </c>
      <c r="AD8" s="39">
        <f>(10*AC8)/10</f>
        <v>0</v>
      </c>
    </row>
    <row r="9" spans="1:32" x14ac:dyDescent="0.2">
      <c r="C9" s="458"/>
      <c r="D9" s="458"/>
      <c r="E9" s="458"/>
      <c r="F9" s="458"/>
      <c r="G9" s="458"/>
      <c r="H9" s="458"/>
      <c r="I9" s="458"/>
      <c r="J9" s="458"/>
      <c r="K9" s="458"/>
      <c r="M9" s="761" t="s">
        <v>108</v>
      </c>
      <c r="N9" s="761"/>
      <c r="P9" s="525" t="s">
        <v>95</v>
      </c>
      <c r="Q9" s="525"/>
      <c r="R9" s="525"/>
      <c r="T9" s="525" t="s">
        <v>87</v>
      </c>
      <c r="U9" s="525"/>
      <c r="V9" s="525"/>
      <c r="X9" s="525" t="s">
        <v>102</v>
      </c>
      <c r="Y9" s="525"/>
      <c r="Z9" s="525"/>
      <c r="AB9" s="525" t="s">
        <v>61</v>
      </c>
      <c r="AC9" s="525"/>
      <c r="AD9" s="525"/>
    </row>
    <row r="10" spans="1:32" ht="16.5" customHeight="1" x14ac:dyDescent="0.25">
      <c r="J10" s="2"/>
      <c r="K10" s="2"/>
      <c r="M10" s="853">
        <v>16.670000000000002</v>
      </c>
      <c r="N10" s="854"/>
      <c r="P10" s="72" t="s">
        <v>46</v>
      </c>
      <c r="Q10" s="72" t="s">
        <v>14</v>
      </c>
      <c r="R10" s="72" t="s">
        <v>13</v>
      </c>
      <c r="T10" s="72" t="s">
        <v>46</v>
      </c>
      <c r="U10" s="72" t="s">
        <v>14</v>
      </c>
      <c r="V10" s="72" t="s">
        <v>13</v>
      </c>
      <c r="X10" s="72" t="s">
        <v>46</v>
      </c>
      <c r="Y10" s="72" t="s">
        <v>14</v>
      </c>
      <c r="Z10" s="72" t="s">
        <v>13</v>
      </c>
      <c r="AB10" s="4" t="s">
        <v>20</v>
      </c>
      <c r="AC10" s="3">
        <f>(U11)*10</f>
        <v>0</v>
      </c>
      <c r="AD10" s="39">
        <f>(10*AC10)/10</f>
        <v>0</v>
      </c>
    </row>
    <row r="11" spans="1:32" ht="13.5" customHeight="1" x14ac:dyDescent="0.25">
      <c r="J11" s="2"/>
      <c r="K11" s="2"/>
      <c r="P11" s="72">
        <v>8</v>
      </c>
      <c r="Q11" s="72">
        <v>0</v>
      </c>
      <c r="R11" s="72">
        <f>(P11-Q11)</f>
        <v>8</v>
      </c>
      <c r="T11" s="72">
        <v>7</v>
      </c>
      <c r="U11" s="72">
        <v>0</v>
      </c>
      <c r="V11" s="72">
        <f>(T11-U11)</f>
        <v>7</v>
      </c>
      <c r="X11" s="72">
        <v>7</v>
      </c>
      <c r="Y11" s="72">
        <v>0</v>
      </c>
      <c r="Z11" s="72">
        <f>(X11-Y11)</f>
        <v>7</v>
      </c>
      <c r="AB11" s="4" t="s">
        <v>21</v>
      </c>
      <c r="AC11" s="3">
        <f>(Q11)*10</f>
        <v>0</v>
      </c>
      <c r="AD11" s="39">
        <f>(10*AC11)/10</f>
        <v>0</v>
      </c>
    </row>
    <row r="12" spans="1:32" ht="14.25" customHeight="1" x14ac:dyDescent="0.2">
      <c r="A12" s="511" t="s">
        <v>26</v>
      </c>
      <c r="B12" s="511"/>
      <c r="C12" s="511"/>
      <c r="D12" s="511"/>
      <c r="E12" s="511"/>
      <c r="F12" s="511"/>
      <c r="G12" s="511"/>
      <c r="H12" s="511"/>
      <c r="I12" s="511"/>
      <c r="J12" s="511"/>
      <c r="K12" s="511"/>
      <c r="L12" s="511"/>
      <c r="M12" s="511"/>
      <c r="N12" s="511"/>
      <c r="O12" s="81"/>
      <c r="S12" s="81"/>
      <c r="AB12" s="4" t="s">
        <v>22</v>
      </c>
      <c r="AC12" s="3">
        <f>(Y11)*10</f>
        <v>0</v>
      </c>
      <c r="AD12" s="39">
        <f>(10*AC12)/10</f>
        <v>0</v>
      </c>
    </row>
    <row r="13" spans="1:32" ht="30" customHeight="1" x14ac:dyDescent="0.2">
      <c r="A13" s="511"/>
      <c r="B13" s="511"/>
      <c r="C13" s="511"/>
      <c r="D13" s="511"/>
      <c r="E13" s="511"/>
      <c r="F13" s="511"/>
      <c r="G13" s="511"/>
      <c r="H13" s="511"/>
      <c r="I13" s="511"/>
      <c r="J13" s="511"/>
      <c r="K13" s="511"/>
      <c r="L13" s="511"/>
      <c r="M13" s="511"/>
      <c r="N13" s="511"/>
      <c r="O13" s="81"/>
      <c r="P13" s="525" t="s">
        <v>96</v>
      </c>
      <c r="Q13" s="525"/>
      <c r="R13" s="525"/>
      <c r="S13" s="81"/>
      <c r="T13" s="525" t="s">
        <v>88</v>
      </c>
      <c r="U13" s="525"/>
      <c r="V13" s="525"/>
      <c r="X13" s="525" t="s">
        <v>103</v>
      </c>
      <c r="Y13" s="525"/>
      <c r="Z13" s="525"/>
      <c r="AB13" s="525" t="s">
        <v>53</v>
      </c>
      <c r="AC13" s="525"/>
      <c r="AD13" s="525"/>
    </row>
    <row r="14" spans="1:32" ht="14.25" customHeight="1" x14ac:dyDescent="0.2">
      <c r="A14" s="511" t="s">
        <v>27</v>
      </c>
      <c r="B14" s="511"/>
      <c r="C14" s="511"/>
      <c r="D14" s="511"/>
      <c r="E14" s="511"/>
      <c r="F14" s="511"/>
      <c r="G14" s="511"/>
      <c r="H14" s="511"/>
      <c r="I14" s="511"/>
      <c r="J14" s="511"/>
      <c r="K14" s="511"/>
      <c r="L14" s="511"/>
      <c r="M14" s="511"/>
      <c r="N14" s="511"/>
      <c r="O14" s="81"/>
      <c r="P14" s="72" t="s">
        <v>46</v>
      </c>
      <c r="Q14" s="72" t="s">
        <v>14</v>
      </c>
      <c r="R14" s="72" t="s">
        <v>13</v>
      </c>
      <c r="S14" s="81"/>
      <c r="T14" s="72" t="s">
        <v>46</v>
      </c>
      <c r="U14" s="72" t="s">
        <v>14</v>
      </c>
      <c r="V14" s="72" t="s">
        <v>13</v>
      </c>
      <c r="X14" s="72" t="s">
        <v>46</v>
      </c>
      <c r="Y14" s="72" t="s">
        <v>14</v>
      </c>
      <c r="Z14" s="72" t="s">
        <v>13</v>
      </c>
      <c r="AB14" s="4" t="s">
        <v>20</v>
      </c>
      <c r="AC14" s="3">
        <f>(U15)*10</f>
        <v>0</v>
      </c>
      <c r="AD14" s="39">
        <f>(10*AC14)/10</f>
        <v>0</v>
      </c>
    </row>
    <row r="15" spans="1:32" ht="14.25" customHeight="1" x14ac:dyDescent="0.2">
      <c r="A15" s="81"/>
      <c r="B15" s="81"/>
      <c r="C15" s="81"/>
      <c r="D15" s="81"/>
      <c r="E15" s="81"/>
      <c r="F15" s="81"/>
      <c r="G15" s="81"/>
      <c r="H15" s="81"/>
      <c r="I15" s="81"/>
      <c r="J15" s="81"/>
      <c r="K15" s="81"/>
      <c r="L15" s="81"/>
      <c r="M15" s="81"/>
      <c r="N15" s="81"/>
      <c r="O15" s="81"/>
      <c r="P15" s="72">
        <v>12</v>
      </c>
      <c r="Q15" s="72">
        <v>0</v>
      </c>
      <c r="R15" s="72">
        <f>(P15-Q15)</f>
        <v>12</v>
      </c>
      <c r="S15" s="81"/>
      <c r="T15" s="72">
        <v>12</v>
      </c>
      <c r="U15" s="72">
        <v>0</v>
      </c>
      <c r="V15" s="72">
        <f>(T15-U15)</f>
        <v>12</v>
      </c>
      <c r="X15" s="72">
        <v>7</v>
      </c>
      <c r="Y15" s="72">
        <v>0</v>
      </c>
      <c r="Z15" s="72">
        <f>(X15-Y15)</f>
        <v>7</v>
      </c>
      <c r="AB15" s="4" t="s">
        <v>21</v>
      </c>
      <c r="AC15" s="3">
        <f>(Q15)*10</f>
        <v>0</v>
      </c>
      <c r="AD15" s="39">
        <f>(10*AC15)/10</f>
        <v>0</v>
      </c>
    </row>
    <row r="16" spans="1:32" ht="30" customHeight="1" x14ac:dyDescent="0.2">
      <c r="A16" s="765" t="s">
        <v>132</v>
      </c>
      <c r="B16" s="766"/>
      <c r="C16" s="766"/>
      <c r="D16" s="766"/>
      <c r="E16" s="766"/>
      <c r="F16" s="766"/>
      <c r="G16" s="766"/>
      <c r="H16" s="766"/>
      <c r="I16" s="766"/>
      <c r="J16" s="766"/>
      <c r="K16" s="766"/>
      <c r="L16" s="766"/>
      <c r="M16" s="766"/>
      <c r="N16" s="767"/>
      <c r="O16" s="81"/>
      <c r="R16" s="72"/>
      <c r="S16" s="81"/>
      <c r="V16" s="72"/>
      <c r="W16" s="72"/>
      <c r="AB16" s="4" t="s">
        <v>22</v>
      </c>
      <c r="AC16" s="40">
        <f>(Y15)*10</f>
        <v>0</v>
      </c>
      <c r="AD16" s="41">
        <f>(10*AC16)/10</f>
        <v>0</v>
      </c>
    </row>
    <row r="17" spans="1:30" x14ac:dyDescent="0.2">
      <c r="P17" s="525" t="s">
        <v>97</v>
      </c>
      <c r="Q17" s="525"/>
      <c r="R17" s="525"/>
      <c r="T17" s="525" t="s">
        <v>89</v>
      </c>
      <c r="U17" s="525"/>
      <c r="V17" s="525"/>
      <c r="W17" s="72"/>
      <c r="AB17" s="525" t="s">
        <v>62</v>
      </c>
      <c r="AC17" s="525"/>
      <c r="AD17" s="525"/>
    </row>
    <row r="18" spans="1:30" x14ac:dyDescent="0.2">
      <c r="A18" s="59" t="s">
        <v>1</v>
      </c>
      <c r="B18" s="83" t="s">
        <v>3</v>
      </c>
      <c r="C18" s="83" t="s">
        <v>4</v>
      </c>
      <c r="D18" s="83" t="s">
        <v>12</v>
      </c>
      <c r="E18" s="83" t="s">
        <v>111</v>
      </c>
      <c r="F18" s="83" t="s">
        <v>83</v>
      </c>
      <c r="G18" s="83" t="s">
        <v>23</v>
      </c>
      <c r="H18" s="83" t="s">
        <v>131</v>
      </c>
      <c r="I18" s="835" t="s">
        <v>58</v>
      </c>
      <c r="J18" s="835"/>
      <c r="K18" s="835" t="s">
        <v>59</v>
      </c>
      <c r="L18" s="835"/>
      <c r="M18" s="835" t="s">
        <v>2</v>
      </c>
      <c r="N18" s="835"/>
      <c r="O18" s="21"/>
      <c r="P18" s="72" t="s">
        <v>46</v>
      </c>
      <c r="Q18" s="72" t="s">
        <v>14</v>
      </c>
      <c r="R18" s="72" t="s">
        <v>13</v>
      </c>
      <c r="S18" s="21"/>
      <c r="T18" s="72" t="s">
        <v>46</v>
      </c>
      <c r="U18" s="72" t="s">
        <v>14</v>
      </c>
      <c r="V18" s="72" t="s">
        <v>13</v>
      </c>
      <c r="W18" s="72"/>
      <c r="AB18" s="4" t="s">
        <v>20</v>
      </c>
      <c r="AC18" s="3">
        <f>(U19)*10</f>
        <v>0</v>
      </c>
      <c r="AD18" s="39">
        <f>(10*AC18)/10</f>
        <v>0</v>
      </c>
    </row>
    <row r="19" spans="1:30" ht="30" customHeight="1" thickBot="1" x14ac:dyDescent="0.25">
      <c r="A19" s="476" t="s">
        <v>60</v>
      </c>
      <c r="B19" s="478">
        <f>100-AD3</f>
        <v>100</v>
      </c>
      <c r="C19" s="478">
        <f>100-AD2</f>
        <v>100</v>
      </c>
      <c r="D19" s="478">
        <f>100-AD4</f>
        <v>100</v>
      </c>
      <c r="E19" s="485"/>
      <c r="F19" s="485"/>
      <c r="G19" s="834"/>
      <c r="H19" s="775"/>
      <c r="I19" s="471" t="s">
        <v>153</v>
      </c>
      <c r="J19" s="472"/>
      <c r="K19" s="471"/>
      <c r="L19" s="472"/>
      <c r="M19" s="856"/>
      <c r="N19" s="857"/>
      <c r="O19" s="74"/>
      <c r="P19" s="72">
        <v>8</v>
      </c>
      <c r="Q19" s="72">
        <v>0</v>
      </c>
      <c r="R19" s="72">
        <f>(P19-Q19)</f>
        <v>8</v>
      </c>
      <c r="S19" s="74"/>
      <c r="T19" s="72">
        <v>11</v>
      </c>
      <c r="U19" s="72">
        <v>0</v>
      </c>
      <c r="V19" s="72">
        <f>(T19-U19)</f>
        <v>11</v>
      </c>
      <c r="W19" s="72"/>
      <c r="AB19" s="4" t="s">
        <v>21</v>
      </c>
      <c r="AC19" s="3">
        <f>(Q19)*10</f>
        <v>0</v>
      </c>
      <c r="AD19" s="39">
        <f>(10*AC19)/10</f>
        <v>0</v>
      </c>
    </row>
    <row r="20" spans="1:30" ht="15" thickBot="1" x14ac:dyDescent="0.25">
      <c r="A20" s="484"/>
      <c r="B20" s="833"/>
      <c r="C20" s="833"/>
      <c r="D20" s="833"/>
      <c r="E20" s="478"/>
      <c r="F20" s="478"/>
      <c r="G20" s="826"/>
      <c r="H20" s="855"/>
      <c r="I20" s="471" t="s">
        <v>154</v>
      </c>
      <c r="J20" s="472"/>
      <c r="K20" s="471"/>
      <c r="L20" s="472"/>
      <c r="M20" s="471"/>
      <c r="N20" s="472"/>
      <c r="O20" s="81"/>
      <c r="S20" s="81"/>
      <c r="AB20" s="525"/>
      <c r="AC20" s="525"/>
    </row>
    <row r="21" spans="1:30" ht="73.5" customHeight="1" thickBot="1" x14ac:dyDescent="0.25">
      <c r="A21" s="484" t="s">
        <v>52</v>
      </c>
      <c r="B21" s="833">
        <f>100-AD7</f>
        <v>100</v>
      </c>
      <c r="C21" s="833">
        <f>100-AD6</f>
        <v>100</v>
      </c>
      <c r="D21" s="833">
        <f>100-AD8</f>
        <v>100</v>
      </c>
      <c r="E21" s="833" t="s">
        <v>144</v>
      </c>
      <c r="F21" s="858">
        <f>(V43)</f>
        <v>0</v>
      </c>
      <c r="G21" s="859">
        <f>(Z43)</f>
        <v>0</v>
      </c>
      <c r="H21" s="855"/>
      <c r="I21" s="471" t="s">
        <v>155</v>
      </c>
      <c r="J21" s="472"/>
      <c r="K21" s="471"/>
      <c r="L21" s="472"/>
      <c r="M21" s="856"/>
      <c r="N21" s="857"/>
      <c r="O21" s="25"/>
      <c r="P21" s="525" t="s">
        <v>98</v>
      </c>
      <c r="Q21" s="525"/>
      <c r="R21" s="525"/>
      <c r="S21" s="25"/>
      <c r="T21" s="525" t="s">
        <v>90</v>
      </c>
      <c r="U21" s="525"/>
      <c r="V21" s="525"/>
      <c r="AB21" s="525" t="s">
        <v>64</v>
      </c>
      <c r="AC21" s="525"/>
      <c r="AD21" s="525"/>
    </row>
    <row r="22" spans="1:30" ht="15" thickBot="1" x14ac:dyDescent="0.25">
      <c r="A22" s="484"/>
      <c r="B22" s="833"/>
      <c r="C22" s="833"/>
      <c r="D22" s="833"/>
      <c r="E22" s="833"/>
      <c r="F22" s="858"/>
      <c r="G22" s="859"/>
      <c r="H22" s="855"/>
      <c r="I22" s="471" t="s">
        <v>156</v>
      </c>
      <c r="J22" s="472"/>
      <c r="K22" s="471"/>
      <c r="L22" s="472"/>
      <c r="M22" s="471"/>
      <c r="N22" s="472"/>
      <c r="O22" s="25"/>
      <c r="P22" s="72" t="s">
        <v>46</v>
      </c>
      <c r="Q22" s="72" t="s">
        <v>14</v>
      </c>
      <c r="R22" s="72" t="s">
        <v>13</v>
      </c>
      <c r="S22" s="25"/>
      <c r="T22" s="72" t="s">
        <v>46</v>
      </c>
      <c r="U22" s="72" t="s">
        <v>14</v>
      </c>
      <c r="V22" s="72" t="s">
        <v>13</v>
      </c>
      <c r="AB22" s="4" t="s">
        <v>20</v>
      </c>
      <c r="AC22" s="3">
        <f>(U23)*10</f>
        <v>0</v>
      </c>
      <c r="AD22" s="39">
        <f>(10*AC22)/10</f>
        <v>0</v>
      </c>
    </row>
    <row r="23" spans="1:30" ht="15" customHeight="1" thickBot="1" x14ac:dyDescent="0.25">
      <c r="A23" s="484" t="s">
        <v>61</v>
      </c>
      <c r="B23" s="833">
        <f>100-AD11</f>
        <v>100</v>
      </c>
      <c r="C23" s="833">
        <f>100-AD10</f>
        <v>100</v>
      </c>
      <c r="D23" s="833">
        <f>100-AD12</f>
        <v>100</v>
      </c>
      <c r="E23" s="477"/>
      <c r="F23" s="477"/>
      <c r="G23" s="825"/>
      <c r="H23" s="855"/>
      <c r="I23" s="471" t="s">
        <v>139</v>
      </c>
      <c r="J23" s="472"/>
      <c r="K23" s="471"/>
      <c r="L23" s="472"/>
      <c r="M23" s="860"/>
      <c r="N23" s="861"/>
      <c r="O23" s="25"/>
      <c r="P23" s="72">
        <v>6</v>
      </c>
      <c r="Q23" s="72">
        <v>0</v>
      </c>
      <c r="R23" s="72">
        <f>(P23-Q23)</f>
        <v>6</v>
      </c>
      <c r="S23" s="25"/>
      <c r="T23" s="72">
        <v>4</v>
      </c>
      <c r="U23" s="72">
        <v>0</v>
      </c>
      <c r="V23" s="72">
        <f>(T23-U23)</f>
        <v>4</v>
      </c>
      <c r="AB23" s="4" t="s">
        <v>21</v>
      </c>
      <c r="AC23" s="3">
        <f>(Q23)*10</f>
        <v>0</v>
      </c>
      <c r="AD23" s="39">
        <f>(10*AC23)/10</f>
        <v>0</v>
      </c>
    </row>
    <row r="24" spans="1:30" ht="15" customHeight="1" thickBot="1" x14ac:dyDescent="0.25">
      <c r="A24" s="484"/>
      <c r="B24" s="833"/>
      <c r="C24" s="833"/>
      <c r="D24" s="833"/>
      <c r="E24" s="478"/>
      <c r="F24" s="478"/>
      <c r="G24" s="826"/>
      <c r="H24" s="855"/>
      <c r="I24" s="471"/>
      <c r="J24" s="472"/>
      <c r="K24" s="471"/>
      <c r="L24" s="472"/>
      <c r="M24" s="471"/>
      <c r="N24" s="472"/>
      <c r="O24" s="25"/>
      <c r="S24" s="25"/>
      <c r="AB24" s="1"/>
      <c r="AC24" s="1"/>
      <c r="AD24" s="1"/>
    </row>
    <row r="25" spans="1:30" ht="30" customHeight="1" thickBot="1" x14ac:dyDescent="0.25">
      <c r="A25" s="484" t="s">
        <v>53</v>
      </c>
      <c r="B25" s="833">
        <f>100-AD15</f>
        <v>100</v>
      </c>
      <c r="C25" s="833">
        <f>100-AD14</f>
        <v>100</v>
      </c>
      <c r="D25" s="833">
        <f>100-AD16</f>
        <v>100</v>
      </c>
      <c r="E25" s="833" t="s">
        <v>144</v>
      </c>
      <c r="F25" s="477"/>
      <c r="G25" s="825"/>
      <c r="H25" s="855"/>
      <c r="I25" s="471" t="s">
        <v>140</v>
      </c>
      <c r="J25" s="472"/>
      <c r="K25" s="471"/>
      <c r="L25" s="472"/>
      <c r="M25" s="860"/>
      <c r="N25" s="861"/>
      <c r="O25" s="25"/>
      <c r="S25" s="25"/>
      <c r="AB25" s="525"/>
      <c r="AC25" s="525"/>
    </row>
    <row r="26" spans="1:30" ht="42.75" customHeight="1" thickBot="1" x14ac:dyDescent="0.25">
      <c r="A26" s="484"/>
      <c r="B26" s="833"/>
      <c r="C26" s="833"/>
      <c r="D26" s="833"/>
      <c r="E26" s="833"/>
      <c r="F26" s="478"/>
      <c r="G26" s="826"/>
      <c r="H26" s="855"/>
      <c r="I26" s="471" t="s">
        <v>157</v>
      </c>
      <c r="J26" s="472"/>
      <c r="K26" s="471"/>
      <c r="L26" s="472"/>
      <c r="M26" s="860"/>
      <c r="N26" s="861"/>
      <c r="O26" s="25"/>
      <c r="P26" s="525" t="s">
        <v>99</v>
      </c>
      <c r="Q26" s="525"/>
      <c r="R26" s="525"/>
      <c r="S26" s="25"/>
      <c r="T26" s="525" t="s">
        <v>91</v>
      </c>
      <c r="U26" s="525"/>
      <c r="V26" s="525"/>
      <c r="AB26" s="525" t="s">
        <v>65</v>
      </c>
      <c r="AC26" s="525"/>
      <c r="AD26" s="525"/>
    </row>
    <row r="27" spans="1:30" ht="14.25" customHeight="1" thickBot="1" x14ac:dyDescent="0.25">
      <c r="A27" s="484" t="s">
        <v>62</v>
      </c>
      <c r="B27" s="833">
        <f>100-AD19</f>
        <v>100</v>
      </c>
      <c r="C27" s="833">
        <f>100-AD18</f>
        <v>100</v>
      </c>
      <c r="D27" s="833"/>
      <c r="E27" s="833" t="s">
        <v>144</v>
      </c>
      <c r="F27" s="477"/>
      <c r="G27" s="825"/>
      <c r="H27" s="855"/>
      <c r="I27" s="471" t="s">
        <v>129</v>
      </c>
      <c r="J27" s="472"/>
      <c r="K27" s="471"/>
      <c r="L27" s="472"/>
      <c r="M27" s="860"/>
      <c r="N27" s="861"/>
      <c r="O27" s="74"/>
      <c r="P27" s="72" t="s">
        <v>46</v>
      </c>
      <c r="Q27" s="72" t="s">
        <v>14</v>
      </c>
      <c r="R27" s="72" t="s">
        <v>13</v>
      </c>
      <c r="S27" s="74"/>
      <c r="T27" s="72" t="s">
        <v>46</v>
      </c>
      <c r="U27" s="72" t="s">
        <v>14</v>
      </c>
      <c r="V27" s="72" t="s">
        <v>13</v>
      </c>
      <c r="AB27" s="4" t="s">
        <v>20</v>
      </c>
      <c r="AC27" s="3">
        <f>(U28)*10</f>
        <v>0</v>
      </c>
      <c r="AD27" s="39">
        <f>(10*AC27)/10</f>
        <v>0</v>
      </c>
    </row>
    <row r="28" spans="1:30" ht="42" customHeight="1" thickBot="1" x14ac:dyDescent="0.25">
      <c r="A28" s="484"/>
      <c r="B28" s="833"/>
      <c r="C28" s="833"/>
      <c r="D28" s="833"/>
      <c r="E28" s="833"/>
      <c r="F28" s="478"/>
      <c r="G28" s="826"/>
      <c r="H28" s="855"/>
      <c r="I28" s="471" t="s">
        <v>159</v>
      </c>
      <c r="J28" s="472"/>
      <c r="K28" s="471"/>
      <c r="L28" s="472"/>
      <c r="M28" s="471"/>
      <c r="N28" s="472"/>
      <c r="O28" s="74"/>
      <c r="P28" s="72">
        <v>3</v>
      </c>
      <c r="Q28" s="72">
        <v>0</v>
      </c>
      <c r="R28" s="72">
        <f>(P28-Q28)</f>
        <v>3</v>
      </c>
      <c r="S28" s="74"/>
      <c r="T28" s="72">
        <v>1</v>
      </c>
      <c r="U28" s="72">
        <v>0</v>
      </c>
      <c r="V28" s="72">
        <f>(T28-U28)</f>
        <v>1</v>
      </c>
      <c r="AB28" s="4" t="s">
        <v>21</v>
      </c>
      <c r="AC28" s="3">
        <f>(Q28)*10</f>
        <v>0</v>
      </c>
      <c r="AD28" s="39">
        <f>(10*AC28)/10</f>
        <v>0</v>
      </c>
    </row>
    <row r="29" spans="1:30" ht="14.25" customHeight="1" thickBot="1" x14ac:dyDescent="0.25">
      <c r="A29" s="484" t="s">
        <v>125</v>
      </c>
      <c r="B29" s="833">
        <f>100-AD23</f>
        <v>100</v>
      </c>
      <c r="C29" s="833">
        <f>100-AD22</f>
        <v>100</v>
      </c>
      <c r="D29" s="833"/>
      <c r="E29" s="477"/>
      <c r="F29" s="477"/>
      <c r="G29" s="825"/>
      <c r="H29" s="855"/>
      <c r="I29" s="471" t="s">
        <v>135</v>
      </c>
      <c r="J29" s="472"/>
      <c r="K29" s="471"/>
      <c r="L29" s="472"/>
      <c r="M29" s="860"/>
      <c r="N29" s="861"/>
      <c r="O29" s="25"/>
      <c r="S29" s="25"/>
      <c r="AB29" s="525"/>
      <c r="AC29" s="525"/>
    </row>
    <row r="30" spans="1:30" ht="15" customHeight="1" thickBot="1" x14ac:dyDescent="0.25">
      <c r="A30" s="484"/>
      <c r="B30" s="833"/>
      <c r="C30" s="833"/>
      <c r="D30" s="833"/>
      <c r="E30" s="478"/>
      <c r="F30" s="478"/>
      <c r="G30" s="826"/>
      <c r="H30" s="855"/>
      <c r="I30" s="471"/>
      <c r="J30" s="472"/>
      <c r="K30" s="471"/>
      <c r="L30" s="472"/>
      <c r="M30" s="471"/>
      <c r="N30" s="472"/>
      <c r="O30" s="25"/>
      <c r="P30" s="525" t="s">
        <v>100</v>
      </c>
      <c r="Q30" s="525"/>
      <c r="R30" s="525"/>
      <c r="S30" s="25"/>
      <c r="T30" s="525" t="s">
        <v>92</v>
      </c>
      <c r="U30" s="525"/>
      <c r="V30" s="525"/>
      <c r="AB30" s="525" t="s">
        <v>63</v>
      </c>
      <c r="AC30" s="525"/>
      <c r="AD30" s="525"/>
    </row>
    <row r="31" spans="1:30" ht="15.75" customHeight="1" thickBot="1" x14ac:dyDescent="0.25">
      <c r="A31" s="484" t="s">
        <v>65</v>
      </c>
      <c r="B31" s="833">
        <f>100-AD28</f>
        <v>100</v>
      </c>
      <c r="C31" s="833">
        <f>100-AD27</f>
        <v>100</v>
      </c>
      <c r="D31" s="833"/>
      <c r="E31" s="833" t="s">
        <v>144</v>
      </c>
      <c r="F31" s="477"/>
      <c r="G31" s="825"/>
      <c r="H31" s="855"/>
      <c r="I31" s="526"/>
      <c r="J31" s="527"/>
      <c r="K31" s="526"/>
      <c r="L31" s="527"/>
      <c r="M31" s="860"/>
      <c r="N31" s="861"/>
      <c r="O31" s="25"/>
      <c r="P31" s="72" t="s">
        <v>46</v>
      </c>
      <c r="Q31" s="72" t="s">
        <v>14</v>
      </c>
      <c r="R31" s="72" t="s">
        <v>13</v>
      </c>
      <c r="S31" s="25"/>
      <c r="T31" s="72" t="s">
        <v>46</v>
      </c>
      <c r="U31" s="72" t="s">
        <v>14</v>
      </c>
      <c r="V31" s="72" t="s">
        <v>13</v>
      </c>
      <c r="AB31" s="4" t="s">
        <v>20</v>
      </c>
      <c r="AC31" s="3">
        <f>(U32)*10</f>
        <v>0</v>
      </c>
      <c r="AD31" s="39">
        <f>(10*AC31)/10</f>
        <v>0</v>
      </c>
    </row>
    <row r="32" spans="1:30" ht="15.75" customHeight="1" thickBot="1" x14ac:dyDescent="0.25">
      <c r="A32" s="484"/>
      <c r="B32" s="833"/>
      <c r="C32" s="833"/>
      <c r="D32" s="833"/>
      <c r="E32" s="833"/>
      <c r="F32" s="478"/>
      <c r="G32" s="826"/>
      <c r="H32" s="855"/>
      <c r="I32" s="471" t="s">
        <v>156</v>
      </c>
      <c r="J32" s="472"/>
      <c r="K32" s="471"/>
      <c r="L32" s="472"/>
      <c r="M32" s="860"/>
      <c r="N32" s="861"/>
      <c r="O32" s="81"/>
      <c r="P32" s="72">
        <v>10</v>
      </c>
      <c r="Q32" s="72">
        <v>0</v>
      </c>
      <c r="R32" s="72">
        <f>(P32-Q32)</f>
        <v>10</v>
      </c>
      <c r="S32" s="81"/>
      <c r="T32" s="72">
        <v>8</v>
      </c>
      <c r="U32" s="72">
        <v>0</v>
      </c>
      <c r="V32" s="72">
        <f>(T32-U32)</f>
        <v>8</v>
      </c>
      <c r="AB32" s="4" t="s">
        <v>21</v>
      </c>
      <c r="AC32" s="3">
        <f>(Q32)*10</f>
        <v>0</v>
      </c>
      <c r="AD32" s="39">
        <f>(10*AC32)/10</f>
        <v>0</v>
      </c>
    </row>
    <row r="33" spans="1:30" ht="29.25" customHeight="1" thickBot="1" x14ac:dyDescent="0.25">
      <c r="A33" s="484" t="s">
        <v>63</v>
      </c>
      <c r="B33" s="833">
        <f>100-AD32</f>
        <v>100</v>
      </c>
      <c r="C33" s="833">
        <f>100-AD31</f>
        <v>100</v>
      </c>
      <c r="D33" s="833"/>
      <c r="E33" s="477"/>
      <c r="F33" s="477"/>
      <c r="G33" s="825"/>
      <c r="H33" s="855"/>
      <c r="I33" s="471" t="s">
        <v>133</v>
      </c>
      <c r="J33" s="472"/>
      <c r="K33" s="471"/>
      <c r="L33" s="472"/>
      <c r="M33" s="860"/>
      <c r="N33" s="861"/>
      <c r="O33" s="81"/>
      <c r="P33" s="72"/>
      <c r="Q33" s="72"/>
      <c r="R33" s="72"/>
      <c r="S33" s="81"/>
      <c r="T33" s="72"/>
      <c r="U33" s="72"/>
      <c r="V33" s="72"/>
      <c r="AB33" s="4"/>
      <c r="AC33" s="3"/>
      <c r="AD33" s="39"/>
    </row>
    <row r="34" spans="1:30" ht="15" customHeight="1" thickBot="1" x14ac:dyDescent="0.25">
      <c r="A34" s="484"/>
      <c r="B34" s="833"/>
      <c r="C34" s="833"/>
      <c r="D34" s="833"/>
      <c r="E34" s="478"/>
      <c r="F34" s="478"/>
      <c r="G34" s="826"/>
      <c r="H34" s="855"/>
      <c r="I34" s="471"/>
      <c r="J34" s="472"/>
      <c r="K34" s="471"/>
      <c r="L34" s="472"/>
      <c r="M34" s="860"/>
      <c r="N34" s="861"/>
      <c r="O34" s="81"/>
      <c r="P34" s="72"/>
      <c r="Q34" s="72"/>
      <c r="R34" s="72"/>
      <c r="S34" s="81"/>
      <c r="T34" s="72"/>
      <c r="U34" s="72"/>
      <c r="V34" s="72"/>
      <c r="AB34" s="4"/>
      <c r="AC34" s="3"/>
      <c r="AD34" s="39"/>
    </row>
    <row r="35" spans="1:30" ht="21.75" customHeight="1" thickBot="1" x14ac:dyDescent="0.25">
      <c r="A35" s="484" t="s">
        <v>19</v>
      </c>
      <c r="B35" s="827">
        <f>(T46)*10</f>
        <v>0</v>
      </c>
      <c r="C35" s="828"/>
      <c r="D35" s="828"/>
      <c r="E35" s="828"/>
      <c r="F35" s="828"/>
      <c r="G35" s="829"/>
      <c r="H35" s="855">
        <f>(B35)</f>
        <v>0</v>
      </c>
      <c r="I35" s="471" t="s">
        <v>158</v>
      </c>
      <c r="J35" s="472"/>
      <c r="K35" s="471"/>
      <c r="L35" s="472"/>
      <c r="M35" s="860"/>
      <c r="N35" s="861"/>
      <c r="O35" s="74"/>
      <c r="S35" s="74"/>
      <c r="AB35" s="1"/>
      <c r="AC35" s="1"/>
      <c r="AD35" s="1"/>
    </row>
    <row r="36" spans="1:30" ht="21.75" customHeight="1" thickBot="1" x14ac:dyDescent="0.25">
      <c r="A36" s="475"/>
      <c r="B36" s="830"/>
      <c r="C36" s="831"/>
      <c r="D36" s="831"/>
      <c r="E36" s="831"/>
      <c r="F36" s="831"/>
      <c r="G36" s="832"/>
      <c r="H36" s="855"/>
      <c r="I36" s="490"/>
      <c r="J36" s="491"/>
      <c r="K36" s="490"/>
      <c r="L36" s="491"/>
      <c r="M36" s="862"/>
      <c r="N36" s="863"/>
      <c r="O36" s="74"/>
      <c r="S36" s="74"/>
    </row>
    <row r="37" spans="1:30" ht="18.75" thickBot="1" x14ac:dyDescent="0.25">
      <c r="A37" s="54" t="s">
        <v>82</v>
      </c>
      <c r="B37" s="60"/>
      <c r="C37" s="55"/>
      <c r="D37" s="55"/>
      <c r="E37" s="55"/>
      <c r="F37" s="58">
        <f>(F21)</f>
        <v>0</v>
      </c>
      <c r="G37" s="58">
        <f>(G21)</f>
        <v>0</v>
      </c>
      <c r="H37" s="56"/>
      <c r="I37" s="30"/>
      <c r="J37" s="30"/>
      <c r="K37" s="30"/>
      <c r="L37" s="30"/>
      <c r="M37" s="30"/>
      <c r="N37" s="30"/>
      <c r="O37" s="74"/>
      <c r="Q37" s="66"/>
      <c r="R37" s="66"/>
      <c r="S37" s="66"/>
      <c r="AB37" s="1"/>
      <c r="AC37" s="1"/>
      <c r="AD37" s="1"/>
    </row>
    <row r="38" spans="1:30" x14ac:dyDescent="0.2">
      <c r="A38" s="13"/>
      <c r="B38" s="26"/>
      <c r="C38" s="26"/>
      <c r="D38" s="26"/>
      <c r="E38" s="26"/>
      <c r="F38" s="26"/>
      <c r="G38" s="26"/>
      <c r="H38" s="26"/>
      <c r="I38" s="14"/>
      <c r="J38" s="14"/>
      <c r="K38" s="14"/>
      <c r="L38" s="14"/>
      <c r="M38" s="14"/>
      <c r="N38" s="14"/>
      <c r="O38" s="74"/>
      <c r="Q38" s="66"/>
      <c r="R38" s="66"/>
      <c r="S38" s="66"/>
      <c r="AB38" s="1"/>
      <c r="AC38" s="1"/>
      <c r="AD38" s="1"/>
    </row>
    <row r="39" spans="1:30" ht="15.75" customHeight="1" x14ac:dyDescent="0.2">
      <c r="A39" s="815" t="s">
        <v>18</v>
      </c>
      <c r="B39" s="815"/>
      <c r="C39" s="815"/>
      <c r="E39" s="850" t="s">
        <v>19</v>
      </c>
      <c r="F39" s="850"/>
      <c r="G39" s="850"/>
      <c r="H39" s="850"/>
      <c r="I39" s="850"/>
      <c r="J39" s="850"/>
      <c r="K39" s="850"/>
      <c r="L39" s="850"/>
      <c r="M39" s="850"/>
      <c r="N39" s="20"/>
      <c r="Q39" s="66"/>
      <c r="R39" s="66"/>
      <c r="S39" s="66"/>
      <c r="AB39" s="1"/>
      <c r="AC39" s="1"/>
      <c r="AD39" s="1"/>
    </row>
    <row r="40" spans="1:30" ht="15.75" customHeight="1" x14ac:dyDescent="0.2">
      <c r="A40" s="45" t="s">
        <v>1</v>
      </c>
      <c r="B40" s="68" t="s">
        <v>120</v>
      </c>
      <c r="C40" s="69" t="s">
        <v>117</v>
      </c>
      <c r="E40" s="71" t="s">
        <v>40</v>
      </c>
      <c r="F40" s="71" t="s">
        <v>73</v>
      </c>
      <c r="G40" s="71" t="s">
        <v>121</v>
      </c>
      <c r="H40" s="71" t="s">
        <v>41</v>
      </c>
      <c r="I40" s="71" t="s">
        <v>55</v>
      </c>
      <c r="J40" s="71" t="s">
        <v>42</v>
      </c>
      <c r="K40" s="71" t="s">
        <v>43</v>
      </c>
      <c r="L40" s="71" t="s">
        <v>44</v>
      </c>
      <c r="M40" s="71" t="s">
        <v>45</v>
      </c>
      <c r="Q40" s="66"/>
      <c r="R40" s="66"/>
      <c r="S40" s="66"/>
      <c r="AB40" s="1"/>
      <c r="AC40" s="1"/>
      <c r="AD40" s="1"/>
    </row>
    <row r="41" spans="1:30" ht="14.25" customHeight="1" x14ac:dyDescent="0.2">
      <c r="A41" s="61" t="s">
        <v>75</v>
      </c>
      <c r="B41" s="28" t="s">
        <v>77</v>
      </c>
      <c r="C41" s="61"/>
      <c r="E41" s="61">
        <v>0</v>
      </c>
      <c r="F41" s="61">
        <v>0</v>
      </c>
      <c r="G41" s="61" t="s">
        <v>24</v>
      </c>
      <c r="H41" s="61" t="s">
        <v>24</v>
      </c>
      <c r="I41" s="61">
        <v>0</v>
      </c>
      <c r="J41" s="61">
        <v>0</v>
      </c>
      <c r="K41" s="61">
        <v>0</v>
      </c>
      <c r="L41" s="61">
        <v>0</v>
      </c>
      <c r="M41" s="61">
        <v>0</v>
      </c>
      <c r="S41" s="31"/>
    </row>
    <row r="42" spans="1:30" ht="14.25" customHeight="1" x14ac:dyDescent="0.2">
      <c r="A42" s="61" t="s">
        <v>76</v>
      </c>
      <c r="B42" s="28" t="s">
        <v>78</v>
      </c>
      <c r="C42" s="61"/>
      <c r="I42" s="74"/>
      <c r="P42" s="851" t="s">
        <v>126</v>
      </c>
      <c r="Q42" s="851"/>
      <c r="R42" s="851"/>
      <c r="S42" s="31"/>
      <c r="T42" s="852" t="s">
        <v>18</v>
      </c>
      <c r="U42" s="852"/>
      <c r="V42" s="852"/>
      <c r="X42" s="840" t="s">
        <v>47</v>
      </c>
      <c r="Y42" s="840"/>
      <c r="Z42" s="840"/>
    </row>
    <row r="43" spans="1:30" ht="14.25" customHeight="1" x14ac:dyDescent="0.2">
      <c r="A43" s="61" t="s">
        <v>107</v>
      </c>
      <c r="B43" s="28" t="s">
        <v>78</v>
      </c>
      <c r="C43" s="61"/>
      <c r="E43" s="66"/>
      <c r="F43" s="841" t="s">
        <v>74</v>
      </c>
      <c r="G43" s="842"/>
      <c r="H43" s="13"/>
      <c r="I43" s="13"/>
      <c r="J43" s="13" t="s">
        <v>134</v>
      </c>
      <c r="K43" s="843" t="s">
        <v>49</v>
      </c>
      <c r="L43" s="843"/>
      <c r="N43" s="66"/>
      <c r="O43" s="66"/>
      <c r="P43" s="844">
        <v>0</v>
      </c>
      <c r="Q43" s="844"/>
      <c r="R43" s="78">
        <f>(25*P43)</f>
        <v>0</v>
      </c>
      <c r="T43" s="845">
        <v>0</v>
      </c>
      <c r="U43" s="845"/>
      <c r="V43" s="79">
        <f>(20*T43)</f>
        <v>0</v>
      </c>
      <c r="X43" s="846">
        <v>0</v>
      </c>
      <c r="Y43" s="846"/>
      <c r="Z43" s="80">
        <f>(20*X43)</f>
        <v>0</v>
      </c>
    </row>
    <row r="44" spans="1:30" ht="14.25" customHeight="1" x14ac:dyDescent="0.2">
      <c r="A44" s="61" t="s">
        <v>66</v>
      </c>
      <c r="B44" s="28" t="s">
        <v>79</v>
      </c>
      <c r="C44" s="61"/>
      <c r="E44" s="66"/>
      <c r="F44" s="70" t="s">
        <v>69</v>
      </c>
      <c r="G44" s="70" t="s">
        <v>50</v>
      </c>
      <c r="H44" s="66"/>
      <c r="I44" s="66"/>
      <c r="J44" s="66"/>
      <c r="K44" s="51" t="s">
        <v>69</v>
      </c>
      <c r="L44" s="51" t="s">
        <v>50</v>
      </c>
      <c r="N44" s="31"/>
      <c r="O44" s="31"/>
      <c r="P44" s="31"/>
      <c r="Q44" s="31"/>
      <c r="R44" s="31"/>
    </row>
    <row r="45" spans="1:30" ht="14.25" customHeight="1" x14ac:dyDescent="0.2">
      <c r="A45" s="61" t="s">
        <v>67</v>
      </c>
      <c r="B45" s="28" t="s">
        <v>78</v>
      </c>
      <c r="C45" s="61"/>
      <c r="E45" s="66"/>
      <c r="F45" s="61">
        <v>3</v>
      </c>
      <c r="G45" s="61">
        <v>0</v>
      </c>
      <c r="H45" s="66"/>
      <c r="I45" s="66"/>
      <c r="J45" s="66"/>
      <c r="K45" s="61">
        <v>2</v>
      </c>
      <c r="L45" s="61">
        <v>0</v>
      </c>
      <c r="N45" s="31"/>
      <c r="O45" s="31"/>
      <c r="T45" s="847" t="s">
        <v>48</v>
      </c>
      <c r="U45" s="847"/>
      <c r="V45" s="847"/>
    </row>
    <row r="46" spans="1:30" ht="14.25" customHeight="1" x14ac:dyDescent="0.2">
      <c r="A46" s="61" t="s">
        <v>68</v>
      </c>
      <c r="B46" s="28" t="s">
        <v>136</v>
      </c>
      <c r="C46" s="61"/>
      <c r="E46" s="72"/>
      <c r="F46" s="72"/>
      <c r="N46" s="31"/>
      <c r="O46" s="31"/>
      <c r="S46" s="31"/>
      <c r="T46" s="848">
        <f>SUM(I41+J41+K41+L41+E41+F41+M41)/7</f>
        <v>0</v>
      </c>
      <c r="U46" s="848"/>
      <c r="V46" s="848"/>
    </row>
    <row r="47" spans="1:30" ht="14.25" customHeight="1" x14ac:dyDescent="0.2">
      <c r="G47" s="789" t="s">
        <v>51</v>
      </c>
      <c r="H47" s="790"/>
      <c r="I47" s="790"/>
      <c r="J47" s="790"/>
      <c r="K47" s="791"/>
    </row>
    <row r="48" spans="1:30" ht="22.5" customHeight="1" x14ac:dyDescent="0.2">
      <c r="A48" s="815" t="s">
        <v>115</v>
      </c>
      <c r="B48" s="815"/>
      <c r="C48" s="815"/>
      <c r="G48" s="787" t="s">
        <v>122</v>
      </c>
      <c r="H48" s="61" t="s">
        <v>52</v>
      </c>
      <c r="I48" s="61" t="s">
        <v>106</v>
      </c>
      <c r="J48" s="61" t="s">
        <v>62</v>
      </c>
      <c r="K48" s="61" t="s">
        <v>65</v>
      </c>
    </row>
    <row r="49" spans="1:31" ht="14.25" customHeight="1" x14ac:dyDescent="0.2">
      <c r="A49" s="27" t="s">
        <v>116</v>
      </c>
      <c r="B49" s="69" t="s">
        <v>69</v>
      </c>
      <c r="C49" s="69" t="s">
        <v>117</v>
      </c>
      <c r="G49" s="788"/>
      <c r="H49" s="51" t="s">
        <v>50</v>
      </c>
      <c r="I49" s="51" t="s">
        <v>50</v>
      </c>
      <c r="J49" s="51" t="s">
        <v>50</v>
      </c>
      <c r="K49" s="51" t="s">
        <v>50</v>
      </c>
      <c r="W49" s="66"/>
    </row>
    <row r="50" spans="1:31" ht="14.25" customHeight="1" x14ac:dyDescent="0.2">
      <c r="A50" s="43" t="s">
        <v>112</v>
      </c>
      <c r="B50" s="61" t="s">
        <v>70</v>
      </c>
      <c r="C50" s="61"/>
      <c r="G50" s="61">
        <v>2</v>
      </c>
      <c r="H50" s="61">
        <v>0</v>
      </c>
      <c r="I50" s="61">
        <v>0</v>
      </c>
      <c r="J50" s="61">
        <v>0</v>
      </c>
      <c r="K50" s="61">
        <v>0</v>
      </c>
      <c r="M50" s="72"/>
    </row>
    <row r="51" spans="1:31" ht="14.25" customHeight="1" thickBot="1" x14ac:dyDescent="0.25">
      <c r="A51" s="43" t="s">
        <v>113</v>
      </c>
      <c r="B51" s="61" t="s">
        <v>71</v>
      </c>
      <c r="C51" s="61"/>
      <c r="D51" s="72"/>
      <c r="E51" s="44"/>
      <c r="F51" s="44"/>
      <c r="G51" s="44"/>
      <c r="M51" s="44"/>
      <c r="S51" s="14"/>
      <c r="T51" s="66"/>
      <c r="U51" s="66"/>
      <c r="V51" s="66"/>
    </row>
    <row r="52" spans="1:31" ht="14.25" customHeight="1" thickBot="1" x14ac:dyDescent="0.25">
      <c r="A52" s="43" t="s">
        <v>114</v>
      </c>
      <c r="B52" s="61" t="s">
        <v>72</v>
      </c>
      <c r="C52" s="61"/>
      <c r="D52" s="44"/>
      <c r="H52" s="849" t="s">
        <v>142</v>
      </c>
      <c r="I52" s="849"/>
      <c r="J52" s="849"/>
      <c r="N52" s="14"/>
      <c r="S52" s="14"/>
      <c r="W52" s="66"/>
    </row>
    <row r="53" spans="1:31" ht="14.25" customHeight="1" thickBot="1" x14ac:dyDescent="0.25">
      <c r="A53" s="43" t="s">
        <v>109</v>
      </c>
      <c r="B53" s="61" t="s">
        <v>119</v>
      </c>
      <c r="C53" s="61"/>
      <c r="H53" s="849"/>
      <c r="I53" s="849"/>
      <c r="J53" s="849"/>
      <c r="N53" s="14"/>
      <c r="S53" s="14"/>
    </row>
    <row r="54" spans="1:31" ht="14.25" customHeight="1" x14ac:dyDescent="0.2">
      <c r="A54" s="43" t="s">
        <v>118</v>
      </c>
      <c r="B54" s="61" t="s">
        <v>110</v>
      </c>
      <c r="C54" s="61"/>
      <c r="N54" s="14"/>
      <c r="U54" s="66"/>
      <c r="V54" s="66"/>
      <c r="X54" s="66"/>
      <c r="AA54" s="47"/>
    </row>
    <row r="55" spans="1:31" x14ac:dyDescent="0.2">
      <c r="A55" s="72"/>
      <c r="B55" s="72"/>
      <c r="J55" s="42"/>
      <c r="K55" s="42"/>
      <c r="L55" s="42"/>
      <c r="M55" s="42"/>
      <c r="N55" s="42"/>
      <c r="O55" s="14"/>
      <c r="P55" s="14"/>
      <c r="Q55" s="14"/>
      <c r="R55" s="14"/>
      <c r="AA55" s="47"/>
    </row>
    <row r="56" spans="1:31" ht="29.25" customHeight="1" x14ac:dyDescent="0.2">
      <c r="A56" s="455" t="s">
        <v>38</v>
      </c>
      <c r="B56" s="455"/>
      <c r="C56" s="455"/>
      <c r="D56" s="455"/>
      <c r="E56" s="455"/>
      <c r="F56" s="455"/>
      <c r="G56" s="455"/>
      <c r="H56" s="455"/>
      <c r="I56" s="455"/>
      <c r="J56" s="455"/>
      <c r="K56" s="455"/>
      <c r="L56" s="455"/>
      <c r="M56" s="46"/>
      <c r="N56" s="46"/>
      <c r="O56" s="14"/>
      <c r="P56" s="14"/>
      <c r="Q56" s="14"/>
      <c r="R56" s="14"/>
      <c r="AA56" s="47"/>
    </row>
    <row r="57" spans="1:31" ht="15" customHeight="1" x14ac:dyDescent="0.2">
      <c r="A57" s="46"/>
      <c r="B57" s="46"/>
      <c r="C57" s="47"/>
      <c r="D57" s="47"/>
      <c r="E57" s="47"/>
      <c r="F57" s="47"/>
      <c r="G57" s="47"/>
      <c r="H57" s="46"/>
      <c r="I57" s="46"/>
      <c r="J57" s="46"/>
      <c r="K57" s="46"/>
      <c r="L57" s="46"/>
      <c r="M57" s="46"/>
      <c r="N57" s="46"/>
      <c r="O57" s="14"/>
      <c r="P57" s="14"/>
      <c r="Q57" s="14"/>
      <c r="R57" s="14"/>
      <c r="AA57" s="47"/>
    </row>
    <row r="58" spans="1:31" ht="42.75" customHeight="1" x14ac:dyDescent="0.2">
      <c r="A58" s="455" t="s">
        <v>39</v>
      </c>
      <c r="B58" s="455"/>
      <c r="C58" s="455"/>
      <c r="D58" s="455"/>
      <c r="E58" s="455"/>
      <c r="F58" s="455"/>
      <c r="G58" s="455"/>
      <c r="H58" s="455"/>
      <c r="I58" s="455"/>
      <c r="J58" s="455"/>
      <c r="K58" s="455"/>
      <c r="L58" s="455"/>
      <c r="M58" s="81"/>
      <c r="N58" s="81"/>
      <c r="S58" s="48"/>
      <c r="AA58" s="47"/>
    </row>
    <row r="59" spans="1:31" s="72" customFormat="1" ht="30.75" customHeight="1" x14ac:dyDescent="0.2">
      <c r="A59" s="455" t="s">
        <v>28</v>
      </c>
      <c r="B59" s="455"/>
      <c r="C59" s="455"/>
      <c r="D59" s="455"/>
      <c r="E59" s="455"/>
      <c r="F59" s="455"/>
      <c r="G59" s="455"/>
      <c r="H59" s="455"/>
      <c r="I59" s="455"/>
      <c r="J59" s="455"/>
      <c r="K59" s="455"/>
      <c r="L59" s="455"/>
      <c r="M59" s="75"/>
      <c r="N59" s="75"/>
      <c r="S59" s="57"/>
      <c r="W59" s="13"/>
      <c r="AB59" s="66"/>
      <c r="AC59" s="66"/>
      <c r="AD59" s="66"/>
    </row>
    <row r="60" spans="1:31" ht="30" customHeight="1" x14ac:dyDescent="0.2">
      <c r="A60" s="455" t="s">
        <v>29</v>
      </c>
      <c r="B60" s="455"/>
      <c r="C60" s="455"/>
      <c r="D60" s="455"/>
      <c r="E60" s="455"/>
      <c r="F60" s="455"/>
      <c r="G60" s="455"/>
      <c r="H60" s="455"/>
      <c r="I60" s="455"/>
      <c r="J60" s="455"/>
      <c r="K60" s="455"/>
      <c r="L60" s="455"/>
      <c r="M60" s="81"/>
      <c r="N60" s="81"/>
      <c r="S60" s="48"/>
      <c r="W60" s="47"/>
    </row>
    <row r="61" spans="1:31" ht="24" customHeight="1" x14ac:dyDescent="0.2">
      <c r="A61" s="81"/>
      <c r="B61" s="81"/>
      <c r="C61" s="81"/>
      <c r="D61" s="81"/>
      <c r="E61" s="81"/>
      <c r="F61" s="76"/>
      <c r="G61" s="76"/>
      <c r="H61" s="76"/>
      <c r="I61" s="76"/>
      <c r="J61" s="76"/>
      <c r="K61" s="76"/>
      <c r="L61" s="76"/>
      <c r="M61" s="76"/>
      <c r="S61" s="48"/>
      <c r="T61" s="47"/>
      <c r="U61" s="47"/>
      <c r="V61" s="47"/>
      <c r="W61" s="47"/>
      <c r="X61" s="47"/>
      <c r="Y61" s="47"/>
      <c r="Z61" s="47"/>
      <c r="AE61" s="47"/>
    </row>
    <row r="62" spans="1:31" s="47" customFormat="1" ht="31.5" customHeight="1" x14ac:dyDescent="0.2">
      <c r="A62" s="1"/>
      <c r="B62" s="458" t="s">
        <v>5</v>
      </c>
      <c r="C62" s="458"/>
      <c r="D62" s="458"/>
      <c r="E62" s="458"/>
      <c r="F62" s="458"/>
      <c r="G62" s="458"/>
      <c r="H62" s="458"/>
      <c r="I62" s="458"/>
      <c r="J62" s="458"/>
      <c r="K62" s="458"/>
      <c r="L62" s="76"/>
      <c r="M62" s="76"/>
      <c r="N62" s="1"/>
      <c r="O62" s="48"/>
      <c r="P62" s="48"/>
      <c r="Q62" s="48"/>
      <c r="R62" s="48"/>
      <c r="S62" s="48"/>
      <c r="AA62" s="1"/>
      <c r="AB62" s="66"/>
      <c r="AC62" s="66"/>
      <c r="AD62" s="66"/>
    </row>
    <row r="63" spans="1:31" s="47" customFormat="1" ht="19.5" x14ac:dyDescent="0.2">
      <c r="A63" s="1"/>
      <c r="B63" s="76"/>
      <c r="C63" s="76"/>
      <c r="D63" s="76"/>
      <c r="E63" s="76"/>
      <c r="F63" s="1"/>
      <c r="G63" s="1"/>
      <c r="H63" s="1"/>
      <c r="I63" s="1"/>
      <c r="J63" s="1"/>
      <c r="K63" s="1"/>
      <c r="L63" s="1"/>
      <c r="M63" s="1"/>
      <c r="N63" s="1"/>
      <c r="O63" s="48"/>
      <c r="P63" s="48"/>
      <c r="Q63" s="48"/>
      <c r="R63" s="48"/>
      <c r="S63" s="14"/>
      <c r="AA63" s="1"/>
      <c r="AB63" s="66"/>
      <c r="AC63" s="66"/>
      <c r="AD63" s="66"/>
    </row>
    <row r="64" spans="1:31" s="47" customFormat="1" ht="29.25" customHeight="1" x14ac:dyDescent="0.2">
      <c r="A64" s="66"/>
      <c r="B64" s="66"/>
      <c r="C64" s="11" t="s">
        <v>11</v>
      </c>
      <c r="D64" s="12" t="s">
        <v>6</v>
      </c>
      <c r="E64" s="12" t="s">
        <v>7</v>
      </c>
      <c r="F64" s="12" t="s">
        <v>8</v>
      </c>
      <c r="G64" s="12" t="s">
        <v>9</v>
      </c>
      <c r="H64" s="12" t="s">
        <v>10</v>
      </c>
      <c r="I64" s="29" t="s">
        <v>80</v>
      </c>
      <c r="J64" s="29" t="s">
        <v>81</v>
      </c>
      <c r="K64" s="29" t="s">
        <v>123</v>
      </c>
      <c r="L64" s="1"/>
      <c r="M64" s="1"/>
      <c r="N64" s="1"/>
      <c r="O64" s="48"/>
      <c r="P64" s="48"/>
      <c r="Q64" s="48"/>
      <c r="R64" s="48"/>
      <c r="S64" s="14"/>
      <c r="W64" s="72"/>
      <c r="AA64" s="1"/>
      <c r="AB64" s="66"/>
      <c r="AC64" s="66"/>
      <c r="AD64" s="66"/>
    </row>
    <row r="65" spans="1:31" s="47" customFormat="1" ht="25.5" customHeight="1" x14ac:dyDescent="0.2">
      <c r="A65" s="49"/>
      <c r="B65" s="66"/>
      <c r="C65" s="6" t="s">
        <v>124</v>
      </c>
      <c r="D65" s="33"/>
      <c r="E65" s="33"/>
      <c r="F65" s="33"/>
      <c r="G65" s="33"/>
      <c r="H65" s="33"/>
      <c r="I65" s="38">
        <f t="shared" ref="I65:I72" si="0">SUM(D65:H65)/5</f>
        <v>0</v>
      </c>
      <c r="J65" s="38">
        <v>0.312</v>
      </c>
      <c r="K65" s="38">
        <f>J65-I65</f>
        <v>0.312</v>
      </c>
      <c r="L65" s="1"/>
      <c r="M65" s="1"/>
      <c r="N65" s="1"/>
      <c r="O65" s="48"/>
      <c r="P65" s="48"/>
      <c r="Q65" s="48"/>
      <c r="R65" s="48"/>
      <c r="S65" s="14"/>
      <c r="W65" s="72"/>
      <c r="AA65" s="1"/>
      <c r="AB65" s="66"/>
      <c r="AC65" s="66"/>
      <c r="AD65" s="66"/>
    </row>
    <row r="66" spans="1:31" s="47" customFormat="1" ht="25.5" customHeight="1" x14ac:dyDescent="0.2">
      <c r="A66" s="49"/>
      <c r="B66" s="66"/>
      <c r="C66" s="6" t="s">
        <v>33</v>
      </c>
      <c r="D66" s="33"/>
      <c r="E66" s="33"/>
      <c r="F66" s="33"/>
      <c r="G66" s="33"/>
      <c r="H66" s="33"/>
      <c r="I66" s="38">
        <f t="shared" si="0"/>
        <v>0</v>
      </c>
      <c r="J66" s="38">
        <v>1.8399999999999999</v>
      </c>
      <c r="K66" s="38">
        <f>J66-I66</f>
        <v>1.8399999999999999</v>
      </c>
      <c r="L66" s="1"/>
      <c r="M66" s="1"/>
      <c r="N66" s="1"/>
      <c r="O66" s="48"/>
      <c r="P66" s="48"/>
      <c r="Q66" s="48"/>
      <c r="R66" s="48"/>
      <c r="S66" s="1"/>
      <c r="T66" s="1"/>
      <c r="U66" s="1"/>
      <c r="V66" s="72"/>
      <c r="W66" s="72"/>
      <c r="X66" s="1"/>
      <c r="Y66" s="1"/>
      <c r="Z66" s="1"/>
      <c r="AA66" s="1"/>
      <c r="AB66" s="66"/>
      <c r="AC66" s="66"/>
      <c r="AD66" s="66"/>
      <c r="AE66" s="1"/>
    </row>
    <row r="67" spans="1:31" ht="25.5" customHeight="1" x14ac:dyDescent="0.2">
      <c r="A67" s="49"/>
      <c r="B67" s="66"/>
      <c r="C67" s="6" t="s">
        <v>32</v>
      </c>
      <c r="D67" s="33"/>
      <c r="E67" s="33"/>
      <c r="F67" s="33"/>
      <c r="G67" s="33"/>
      <c r="H67" s="33"/>
      <c r="I67" s="38">
        <f t="shared" si="0"/>
        <v>0</v>
      </c>
      <c r="J67" s="38">
        <v>2.1859999999999999</v>
      </c>
      <c r="K67" s="38">
        <f t="shared" ref="K67:K72" si="1">J67-I67</f>
        <v>2.1859999999999999</v>
      </c>
      <c r="O67" s="14"/>
      <c r="P67" s="14"/>
      <c r="Q67" s="14"/>
      <c r="R67" s="14"/>
      <c r="V67" s="72"/>
    </row>
    <row r="68" spans="1:31" ht="25.5" customHeight="1" x14ac:dyDescent="0.2">
      <c r="A68" s="49"/>
      <c r="B68" s="50"/>
      <c r="C68" s="7" t="s">
        <v>34</v>
      </c>
      <c r="D68" s="34"/>
      <c r="E68" s="34"/>
      <c r="F68" s="34"/>
      <c r="G68" s="34"/>
      <c r="H68" s="34"/>
      <c r="I68" s="38">
        <f t="shared" si="0"/>
        <v>0</v>
      </c>
      <c r="J68" s="38">
        <v>2.6160000000000005</v>
      </c>
      <c r="K68" s="38">
        <f t="shared" si="1"/>
        <v>2.6160000000000005</v>
      </c>
      <c r="O68" s="14"/>
      <c r="P68" s="14"/>
      <c r="Q68" s="14"/>
      <c r="R68" s="14"/>
      <c r="V68" s="72"/>
    </row>
    <row r="69" spans="1:31" ht="25.5" customHeight="1" x14ac:dyDescent="0.2">
      <c r="A69" s="49"/>
      <c r="B69" s="50"/>
      <c r="C69" s="7" t="s">
        <v>35</v>
      </c>
      <c r="D69" s="34"/>
      <c r="E69" s="8"/>
      <c r="F69" s="8"/>
      <c r="G69" s="8"/>
      <c r="H69" s="8"/>
      <c r="I69" s="38">
        <f t="shared" si="0"/>
        <v>0</v>
      </c>
      <c r="J69" s="38">
        <v>6.8719999999999999</v>
      </c>
      <c r="K69" s="38">
        <f t="shared" si="1"/>
        <v>6.8719999999999999</v>
      </c>
      <c r="O69" s="14"/>
      <c r="P69" s="14"/>
      <c r="Q69" s="14"/>
      <c r="R69" s="14"/>
    </row>
    <row r="70" spans="1:31" ht="25.5" customHeight="1" x14ac:dyDescent="0.2">
      <c r="A70" s="49"/>
      <c r="B70" s="50"/>
      <c r="C70" s="9" t="s">
        <v>37</v>
      </c>
      <c r="D70" s="35"/>
      <c r="E70" s="35"/>
      <c r="F70" s="35"/>
      <c r="G70" s="35"/>
      <c r="H70" s="35"/>
      <c r="I70" s="38">
        <f t="shared" si="0"/>
        <v>0</v>
      </c>
      <c r="J70" s="38">
        <v>2</v>
      </c>
      <c r="K70" s="38">
        <f t="shared" si="1"/>
        <v>2</v>
      </c>
    </row>
    <row r="71" spans="1:31" ht="25.5" customHeight="1" x14ac:dyDescent="0.2">
      <c r="A71" s="49"/>
      <c r="B71" s="50"/>
      <c r="C71" s="10" t="s">
        <v>17</v>
      </c>
      <c r="D71" s="36"/>
      <c r="E71" s="37"/>
      <c r="F71" s="37"/>
      <c r="G71" s="37"/>
      <c r="H71" s="37"/>
      <c r="I71" s="38">
        <f t="shared" si="0"/>
        <v>0</v>
      </c>
      <c r="J71" s="38">
        <v>2.2000000000000002</v>
      </c>
      <c r="K71" s="38">
        <f t="shared" si="1"/>
        <v>2.2000000000000002</v>
      </c>
    </row>
    <row r="72" spans="1:31" ht="25.5" customHeight="1" x14ac:dyDescent="0.2">
      <c r="A72" s="49"/>
      <c r="B72" s="50"/>
      <c r="C72" s="10" t="s">
        <v>36</v>
      </c>
      <c r="D72" s="36"/>
      <c r="E72" s="37"/>
      <c r="F72" s="37"/>
      <c r="G72" s="37"/>
      <c r="H72" s="37"/>
      <c r="I72" s="38">
        <f t="shared" si="0"/>
        <v>0</v>
      </c>
      <c r="J72" s="38">
        <v>44.682000000000002</v>
      </c>
      <c r="K72" s="38">
        <f t="shared" si="1"/>
        <v>44.682000000000002</v>
      </c>
    </row>
    <row r="74" spans="1:31" ht="30" x14ac:dyDescent="0.2">
      <c r="B74" s="77"/>
      <c r="C74" s="77"/>
      <c r="D74" s="77"/>
      <c r="E74" s="779" t="s">
        <v>54</v>
      </c>
      <c r="F74" s="779"/>
      <c r="G74" s="779"/>
      <c r="H74" s="779"/>
      <c r="I74" s="77"/>
      <c r="J74" s="77"/>
      <c r="K74" s="77"/>
      <c r="L74" s="77"/>
      <c r="M74" s="77"/>
      <c r="N74" s="77"/>
    </row>
    <row r="75" spans="1:31" ht="18.75" customHeight="1" x14ac:dyDescent="0.2">
      <c r="A75" s="5"/>
      <c r="B75" s="784" t="s">
        <v>23</v>
      </c>
      <c r="C75" s="784"/>
      <c r="D75" s="5"/>
      <c r="F75" s="784" t="s">
        <v>19</v>
      </c>
      <c r="G75" s="784"/>
      <c r="H75" s="5"/>
      <c r="J75" s="784" t="s">
        <v>83</v>
      </c>
      <c r="K75" s="784"/>
      <c r="L75" s="16"/>
      <c r="M75" s="5"/>
      <c r="N75" s="5"/>
    </row>
    <row r="76" spans="1:31" ht="18.75" customHeight="1" x14ac:dyDescent="0.2">
      <c r="B76" s="15" t="s">
        <v>56</v>
      </c>
      <c r="C76" s="15" t="s">
        <v>57</v>
      </c>
      <c r="F76" s="15" t="s">
        <v>56</v>
      </c>
      <c r="G76" s="15" t="s">
        <v>57</v>
      </c>
      <c r="J76" s="15" t="s">
        <v>56</v>
      </c>
      <c r="K76" s="15" t="s">
        <v>57</v>
      </c>
      <c r="S76" s="72"/>
    </row>
    <row r="77" spans="1:31" ht="18.75" customHeight="1" x14ac:dyDescent="0.2">
      <c r="B77" s="18">
        <v>1</v>
      </c>
      <c r="C77" s="17">
        <f>(G37)/100</f>
        <v>0</v>
      </c>
      <c r="F77" s="18">
        <v>0.94</v>
      </c>
      <c r="G77" s="17">
        <f>(H35)/100</f>
        <v>0</v>
      </c>
      <c r="J77" s="17">
        <v>0.6</v>
      </c>
      <c r="K77" s="17">
        <f>(F37)/100</f>
        <v>0</v>
      </c>
      <c r="S77" s="72"/>
    </row>
    <row r="78" spans="1:31" ht="14.25" customHeight="1" x14ac:dyDescent="0.2">
      <c r="S78" s="72"/>
    </row>
    <row r="79" spans="1:31" x14ac:dyDescent="0.2">
      <c r="A79" s="19"/>
      <c r="B79" s="19"/>
      <c r="C79" s="19"/>
      <c r="D79" s="19"/>
      <c r="E79" s="19"/>
      <c r="F79" s="19"/>
      <c r="G79" s="19"/>
      <c r="H79" s="19"/>
      <c r="K79" s="19"/>
      <c r="L79" s="19"/>
      <c r="M79" s="19"/>
      <c r="N79" s="19"/>
      <c r="S79" s="72"/>
    </row>
    <row r="80" spans="1:31" x14ac:dyDescent="0.2">
      <c r="A80" s="520" t="s">
        <v>143</v>
      </c>
      <c r="B80" s="520"/>
      <c r="C80" s="520"/>
      <c r="D80" s="520"/>
      <c r="E80" s="520"/>
      <c r="F80" s="520"/>
      <c r="G80" s="520"/>
      <c r="H80" s="520"/>
      <c r="I80" s="520"/>
      <c r="J80" s="520"/>
      <c r="K80" s="520"/>
      <c r="L80" s="520"/>
      <c r="M80" s="520"/>
      <c r="N80" s="520"/>
      <c r="O80" s="72"/>
      <c r="P80" s="72"/>
      <c r="Q80" s="72"/>
      <c r="R80" s="72"/>
      <c r="S80" s="72"/>
    </row>
    <row r="81" spans="1:18" ht="14.25" customHeight="1" x14ac:dyDescent="0.2">
      <c r="A81" s="524" t="s">
        <v>166</v>
      </c>
      <c r="B81" s="524"/>
      <c r="C81" s="524"/>
      <c r="D81" s="524"/>
      <c r="E81" s="524"/>
      <c r="F81" s="524"/>
      <c r="G81" s="524"/>
      <c r="H81" s="524"/>
      <c r="I81" s="524"/>
      <c r="J81" s="524"/>
      <c r="K81" s="524"/>
      <c r="L81" s="524"/>
      <c r="M81" s="524"/>
      <c r="N81" s="524"/>
      <c r="O81" s="72"/>
      <c r="P81" s="72"/>
      <c r="Q81" s="72"/>
      <c r="R81" s="72"/>
    </row>
    <row r="82" spans="1:18" x14ac:dyDescent="0.2">
      <c r="O82" s="72"/>
      <c r="P82" s="72"/>
      <c r="Q82" s="72"/>
      <c r="R82" s="72"/>
    </row>
    <row r="83" spans="1:18" x14ac:dyDescent="0.2">
      <c r="B83" s="520" t="s">
        <v>15</v>
      </c>
      <c r="C83" s="520"/>
      <c r="D83" s="520"/>
      <c r="E83" s="520"/>
      <c r="F83" s="520"/>
      <c r="G83" s="520"/>
      <c r="H83" s="520"/>
      <c r="I83" s="520"/>
      <c r="J83" s="520"/>
      <c r="K83" s="520"/>
      <c r="O83" s="72"/>
      <c r="P83" s="72"/>
      <c r="Q83" s="72"/>
      <c r="R83" s="72"/>
    </row>
    <row r="84" spans="1:18" ht="15" customHeight="1" x14ac:dyDescent="0.2">
      <c r="B84" s="1" t="s">
        <v>16</v>
      </c>
      <c r="M84" s="72"/>
      <c r="N84" s="72"/>
      <c r="O84" s="72"/>
      <c r="P84" s="72"/>
      <c r="Q84" s="72"/>
      <c r="R84" s="72"/>
    </row>
  </sheetData>
  <mergeCells count="195">
    <mergeCell ref="A56:L56"/>
    <mergeCell ref="I31:J31"/>
    <mergeCell ref="I32:J32"/>
    <mergeCell ref="I33:J33"/>
    <mergeCell ref="I34:J34"/>
    <mergeCell ref="I25:J25"/>
    <mergeCell ref="I26:J26"/>
    <mergeCell ref="I27:J27"/>
    <mergeCell ref="I28:J28"/>
    <mergeCell ref="I29:J29"/>
    <mergeCell ref="I30:J30"/>
    <mergeCell ref="A35:A36"/>
    <mergeCell ref="G33:G34"/>
    <mergeCell ref="H33:H34"/>
    <mergeCell ref="K33:L33"/>
    <mergeCell ref="B35:G36"/>
    <mergeCell ref="K31:L31"/>
    <mergeCell ref="D29:D30"/>
    <mergeCell ref="E29:E30"/>
    <mergeCell ref="F29:F30"/>
    <mergeCell ref="K27:L27"/>
    <mergeCell ref="D25:D26"/>
    <mergeCell ref="E25:E26"/>
    <mergeCell ref="F25:F26"/>
    <mergeCell ref="B75:C75"/>
    <mergeCell ref="F75:G75"/>
    <mergeCell ref="J75:K75"/>
    <mergeCell ref="A80:N80"/>
    <mergeCell ref="A81:N81"/>
    <mergeCell ref="B83:K83"/>
    <mergeCell ref="A58:L58"/>
    <mergeCell ref="A59:L59"/>
    <mergeCell ref="A60:L60"/>
    <mergeCell ref="B62:K62"/>
    <mergeCell ref="E74:H74"/>
    <mergeCell ref="T45:V45"/>
    <mergeCell ref="T46:V46"/>
    <mergeCell ref="G47:K47"/>
    <mergeCell ref="A48:C48"/>
    <mergeCell ref="G48:G49"/>
    <mergeCell ref="H52:J53"/>
    <mergeCell ref="A39:C39"/>
    <mergeCell ref="E39:M39"/>
    <mergeCell ref="P42:R42"/>
    <mergeCell ref="T42:V42"/>
    <mergeCell ref="X42:Z42"/>
    <mergeCell ref="F43:G43"/>
    <mergeCell ref="K43:L43"/>
    <mergeCell ref="P43:Q43"/>
    <mergeCell ref="T43:U43"/>
    <mergeCell ref="X43:Y43"/>
    <mergeCell ref="H35:H36"/>
    <mergeCell ref="M35:N35"/>
    <mergeCell ref="M36:N36"/>
    <mergeCell ref="K35:L36"/>
    <mergeCell ref="I35:J36"/>
    <mergeCell ref="M33:N33"/>
    <mergeCell ref="K34:L34"/>
    <mergeCell ref="M34:N34"/>
    <mergeCell ref="A33:A34"/>
    <mergeCell ref="B33:B34"/>
    <mergeCell ref="C33:C34"/>
    <mergeCell ref="D33:D34"/>
    <mergeCell ref="E33:E34"/>
    <mergeCell ref="F33:F34"/>
    <mergeCell ref="M31:N31"/>
    <mergeCell ref="K32:L32"/>
    <mergeCell ref="M32:N32"/>
    <mergeCell ref="T30:V30"/>
    <mergeCell ref="AB30:AD30"/>
    <mergeCell ref="A31:A32"/>
    <mergeCell ref="B31:B32"/>
    <mergeCell ref="C31:C32"/>
    <mergeCell ref="D31:D32"/>
    <mergeCell ref="E31:E32"/>
    <mergeCell ref="F31:F32"/>
    <mergeCell ref="G31:G32"/>
    <mergeCell ref="H31:H32"/>
    <mergeCell ref="G29:G30"/>
    <mergeCell ref="H29:H30"/>
    <mergeCell ref="K29:L29"/>
    <mergeCell ref="M29:N29"/>
    <mergeCell ref="AB29:AC29"/>
    <mergeCell ref="K30:L30"/>
    <mergeCell ref="M30:N30"/>
    <mergeCell ref="P30:R30"/>
    <mergeCell ref="A29:A30"/>
    <mergeCell ref="B29:B30"/>
    <mergeCell ref="C29:C30"/>
    <mergeCell ref="M27:N27"/>
    <mergeCell ref="K28:L28"/>
    <mergeCell ref="M28:N28"/>
    <mergeCell ref="T26:V26"/>
    <mergeCell ref="AB26:AD26"/>
    <mergeCell ref="A27:A28"/>
    <mergeCell ref="B27:B28"/>
    <mergeCell ref="C27:C28"/>
    <mergeCell ref="D27:D28"/>
    <mergeCell ref="E27:E28"/>
    <mergeCell ref="F27:F28"/>
    <mergeCell ref="G27:G28"/>
    <mergeCell ref="H27:H28"/>
    <mergeCell ref="G25:G26"/>
    <mergeCell ref="H25:H26"/>
    <mergeCell ref="K25:L25"/>
    <mergeCell ref="M25:N25"/>
    <mergeCell ref="AB25:AC25"/>
    <mergeCell ref="K26:L26"/>
    <mergeCell ref="M26:N26"/>
    <mergeCell ref="P26:R26"/>
    <mergeCell ref="A25:A26"/>
    <mergeCell ref="B25:B26"/>
    <mergeCell ref="C25:C26"/>
    <mergeCell ref="G23:G24"/>
    <mergeCell ref="H23:H24"/>
    <mergeCell ref="K23:L23"/>
    <mergeCell ref="M23:N23"/>
    <mergeCell ref="K24:L24"/>
    <mergeCell ref="M24:N24"/>
    <mergeCell ref="I23:J23"/>
    <mergeCell ref="I24:J24"/>
    <mergeCell ref="A23:A24"/>
    <mergeCell ref="B23:B24"/>
    <mergeCell ref="C23:C24"/>
    <mergeCell ref="D23:D24"/>
    <mergeCell ref="E23:E24"/>
    <mergeCell ref="F23:F24"/>
    <mergeCell ref="M21:N21"/>
    <mergeCell ref="P21:R21"/>
    <mergeCell ref="T21:V21"/>
    <mergeCell ref="AB21:AD21"/>
    <mergeCell ref="K22:L22"/>
    <mergeCell ref="M22:N22"/>
    <mergeCell ref="I21:J21"/>
    <mergeCell ref="I22:J22"/>
    <mergeCell ref="AB20:AC20"/>
    <mergeCell ref="A21:A22"/>
    <mergeCell ref="B21:B22"/>
    <mergeCell ref="C21:C22"/>
    <mergeCell ref="D21:D22"/>
    <mergeCell ref="E21:E22"/>
    <mergeCell ref="F21:F22"/>
    <mergeCell ref="G21:G22"/>
    <mergeCell ref="H21:H22"/>
    <mergeCell ref="K21:L21"/>
    <mergeCell ref="G19:G20"/>
    <mergeCell ref="H19:H20"/>
    <mergeCell ref="K19:L19"/>
    <mergeCell ref="M19:N19"/>
    <mergeCell ref="K20:L20"/>
    <mergeCell ref="M20:N20"/>
    <mergeCell ref="I19:J19"/>
    <mergeCell ref="I20:J20"/>
    <mergeCell ref="A19:A20"/>
    <mergeCell ref="B19:B20"/>
    <mergeCell ref="C19:C20"/>
    <mergeCell ref="D19:D20"/>
    <mergeCell ref="E19:E20"/>
    <mergeCell ref="F19:F20"/>
    <mergeCell ref="A14:N14"/>
    <mergeCell ref="A16:N16"/>
    <mergeCell ref="P17:R17"/>
    <mergeCell ref="T17:V17"/>
    <mergeCell ref="AB17:AD17"/>
    <mergeCell ref="I18:J18"/>
    <mergeCell ref="K18:L18"/>
    <mergeCell ref="M18:N18"/>
    <mergeCell ref="M10:N10"/>
    <mergeCell ref="A12:N13"/>
    <mergeCell ref="P13:R13"/>
    <mergeCell ref="T13:V13"/>
    <mergeCell ref="X13:Z13"/>
    <mergeCell ref="AB13:AD13"/>
    <mergeCell ref="M7:N8"/>
    <mergeCell ref="C8:K9"/>
    <mergeCell ref="M9:N9"/>
    <mergeCell ref="P9:R9"/>
    <mergeCell ref="T9:V9"/>
    <mergeCell ref="X9:Z9"/>
    <mergeCell ref="AB9:AD9"/>
    <mergeCell ref="B4:L5"/>
    <mergeCell ref="M4:N4"/>
    <mergeCell ref="M5:N5"/>
    <mergeCell ref="P5:R5"/>
    <mergeCell ref="T5:V5"/>
    <mergeCell ref="X5:Z5"/>
    <mergeCell ref="P1:R1"/>
    <mergeCell ref="T1:V1"/>
    <mergeCell ref="X1:Z1"/>
    <mergeCell ref="AB1:AD1"/>
    <mergeCell ref="AE1:AF1"/>
    <mergeCell ref="M2:N2"/>
    <mergeCell ref="AB5:AD5"/>
    <mergeCell ref="C6:K6"/>
    <mergeCell ref="M6:N6"/>
  </mergeCells>
  <pageMargins left="0.25" right="0.25" top="0.75" bottom="0.75" header="0.3" footer="0.3"/>
  <pageSetup paperSize="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838D5-DE76-4CAA-9178-8F9D25851D23}">
  <sheetPr codeName="Hoja7"/>
  <dimension ref="A1:AE84"/>
  <sheetViews>
    <sheetView topLeftCell="A59" zoomScale="70" zoomScaleNormal="70" workbookViewId="0">
      <selection activeCell="M77" sqref="M77"/>
    </sheetView>
  </sheetViews>
  <sheetFormatPr baseColWidth="10" defaultRowHeight="14.25" x14ac:dyDescent="0.2"/>
  <cols>
    <col min="1" max="1" width="18.5703125" style="1" customWidth="1"/>
    <col min="2" max="8" width="8.7109375" style="1" customWidth="1"/>
    <col min="9" max="14" width="10.28515625" style="1" customWidth="1"/>
    <col min="15" max="15" width="4" style="1" customWidth="1"/>
    <col min="16" max="18" width="6.85546875" style="1" customWidth="1"/>
    <col min="19" max="19" width="2.7109375" style="1" customWidth="1"/>
    <col min="20" max="22" width="6.7109375" style="1" customWidth="1"/>
    <col min="23" max="23" width="2.5703125" style="1" customWidth="1"/>
    <col min="24" max="26" width="6.7109375" style="1" customWidth="1"/>
    <col min="27" max="27" width="2.7109375" style="1" customWidth="1"/>
    <col min="28" max="30" width="6.7109375" style="1" customWidth="1"/>
    <col min="31" max="31" width="2.7109375" style="1" customWidth="1"/>
    <col min="32" max="16384" width="11.42578125" style="1"/>
  </cols>
  <sheetData>
    <row r="1" spans="1:30" x14ac:dyDescent="0.2">
      <c r="P1" s="525" t="s">
        <v>93</v>
      </c>
      <c r="Q1" s="525"/>
      <c r="R1" s="525"/>
      <c r="T1" s="525" t="s">
        <v>85</v>
      </c>
      <c r="U1" s="525"/>
      <c r="V1" s="525"/>
      <c r="W1" s="72"/>
      <c r="X1" s="525" t="s">
        <v>101</v>
      </c>
      <c r="Y1" s="525"/>
      <c r="Z1" s="525"/>
      <c r="AB1" s="520" t="s">
        <v>60</v>
      </c>
      <c r="AC1" s="520"/>
      <c r="AD1" s="520"/>
    </row>
    <row r="2" spans="1:30" ht="15" customHeight="1" x14ac:dyDescent="0.2">
      <c r="M2" s="520" t="s">
        <v>167</v>
      </c>
      <c r="N2" s="520"/>
      <c r="O2" s="72"/>
      <c r="P2" s="72" t="s">
        <v>46</v>
      </c>
      <c r="Q2" s="72" t="s">
        <v>14</v>
      </c>
      <c r="R2" s="72" t="s">
        <v>13</v>
      </c>
      <c r="S2" s="72"/>
      <c r="T2" s="72" t="s">
        <v>46</v>
      </c>
      <c r="U2" s="72" t="s">
        <v>14</v>
      </c>
      <c r="V2" s="72" t="s">
        <v>13</v>
      </c>
      <c r="W2" s="72"/>
      <c r="X2" s="72" t="s">
        <v>46</v>
      </c>
      <c r="Y2" s="72" t="s">
        <v>14</v>
      </c>
      <c r="Z2" s="72" t="s">
        <v>13</v>
      </c>
      <c r="AB2" s="4" t="s">
        <v>20</v>
      </c>
      <c r="AC2" s="3">
        <f>(U3)*10</f>
        <v>0</v>
      </c>
      <c r="AD2" s="39">
        <f>(10*AC2)/10</f>
        <v>0</v>
      </c>
    </row>
    <row r="3" spans="1:30" ht="15" customHeight="1" x14ac:dyDescent="0.2">
      <c r="P3" s="72">
        <v>5</v>
      </c>
      <c r="Q3" s="72">
        <v>0</v>
      </c>
      <c r="R3" s="72">
        <f>(P3-Q3)</f>
        <v>5</v>
      </c>
      <c r="T3" s="72">
        <v>8</v>
      </c>
      <c r="U3" s="72">
        <v>0</v>
      </c>
      <c r="V3" s="72">
        <f>(T3-U3)</f>
        <v>8</v>
      </c>
      <c r="W3" s="72"/>
      <c r="X3" s="72">
        <v>7</v>
      </c>
      <c r="Y3" s="72">
        <v>0</v>
      </c>
      <c r="Z3" s="72">
        <f>(X3-Y3)</f>
        <v>7</v>
      </c>
      <c r="AB3" s="4" t="s">
        <v>21</v>
      </c>
      <c r="AC3" s="3">
        <f>(Q3)*10</f>
        <v>0</v>
      </c>
      <c r="AD3" s="39">
        <f>(10*AC3)/10</f>
        <v>0</v>
      </c>
    </row>
    <row r="4" spans="1:30" ht="15" customHeight="1" x14ac:dyDescent="0.25">
      <c r="B4" s="452" t="s">
        <v>25</v>
      </c>
      <c r="C4" s="452"/>
      <c r="D4" s="452"/>
      <c r="E4" s="452"/>
      <c r="F4" s="452"/>
      <c r="G4" s="452"/>
      <c r="H4" s="452"/>
      <c r="I4" s="452"/>
      <c r="J4" s="452"/>
      <c r="K4" s="452"/>
      <c r="L4" s="452"/>
      <c r="M4" s="762" t="s">
        <v>0</v>
      </c>
      <c r="N4" s="762"/>
      <c r="O4" s="22"/>
      <c r="P4" s="72"/>
      <c r="Q4" s="72"/>
      <c r="R4" s="72"/>
      <c r="S4" s="22"/>
      <c r="T4" s="72"/>
      <c r="U4" s="72"/>
      <c r="V4" s="72"/>
      <c r="W4" s="72"/>
      <c r="X4" s="72"/>
      <c r="Y4" s="72"/>
      <c r="AB4" s="4" t="s">
        <v>22</v>
      </c>
      <c r="AC4" s="3">
        <f>(Y3)*10</f>
        <v>0</v>
      </c>
      <c r="AD4" s="39">
        <f>(10*AC4)/10</f>
        <v>0</v>
      </c>
    </row>
    <row r="5" spans="1:30" ht="15" customHeight="1" x14ac:dyDescent="0.2">
      <c r="B5" s="452"/>
      <c r="C5" s="452"/>
      <c r="D5" s="452"/>
      <c r="E5" s="452"/>
      <c r="F5" s="452"/>
      <c r="G5" s="452"/>
      <c r="H5" s="452"/>
      <c r="I5" s="452"/>
      <c r="J5" s="452"/>
      <c r="K5" s="452"/>
      <c r="L5" s="452"/>
      <c r="M5" s="763" t="s">
        <v>168</v>
      </c>
      <c r="N5" s="763"/>
      <c r="O5" s="66"/>
      <c r="P5" s="525" t="s">
        <v>94</v>
      </c>
      <c r="Q5" s="525"/>
      <c r="R5" s="525"/>
      <c r="S5" s="66"/>
      <c r="T5" s="525" t="s">
        <v>86</v>
      </c>
      <c r="U5" s="525"/>
      <c r="V5" s="525"/>
      <c r="X5" s="525" t="s">
        <v>84</v>
      </c>
      <c r="Y5" s="525"/>
      <c r="Z5" s="525"/>
      <c r="AB5" s="525" t="s">
        <v>52</v>
      </c>
      <c r="AC5" s="525"/>
      <c r="AD5" s="525"/>
    </row>
    <row r="6" spans="1:30" ht="15" customHeight="1" x14ac:dyDescent="0.2">
      <c r="C6" s="764" t="s">
        <v>105</v>
      </c>
      <c r="D6" s="764"/>
      <c r="E6" s="764"/>
      <c r="F6" s="764"/>
      <c r="G6" s="764"/>
      <c r="H6" s="764"/>
      <c r="I6" s="764"/>
      <c r="J6" s="764"/>
      <c r="K6" s="764"/>
      <c r="M6" s="468" t="s">
        <v>31</v>
      </c>
      <c r="N6" s="468"/>
      <c r="O6" s="73"/>
      <c r="P6" s="72" t="s">
        <v>46</v>
      </c>
      <c r="Q6" s="72" t="s">
        <v>14</v>
      </c>
      <c r="R6" s="72" t="s">
        <v>13</v>
      </c>
      <c r="S6" s="73"/>
      <c r="T6" s="72" t="s">
        <v>46</v>
      </c>
      <c r="U6" s="72" t="s">
        <v>14</v>
      </c>
      <c r="V6" s="72" t="s">
        <v>13</v>
      </c>
      <c r="W6" s="72"/>
      <c r="X6" s="72" t="s">
        <v>46</v>
      </c>
      <c r="Y6" s="72" t="s">
        <v>14</v>
      </c>
      <c r="Z6" s="72" t="s">
        <v>13</v>
      </c>
      <c r="AB6" s="4" t="s">
        <v>20</v>
      </c>
      <c r="AC6" s="3">
        <f>(U7)*10</f>
        <v>0</v>
      </c>
      <c r="AD6" s="39">
        <f>(10*AC6)/10</f>
        <v>0</v>
      </c>
    </row>
    <row r="7" spans="1:30" ht="14.25" customHeight="1" x14ac:dyDescent="0.2">
      <c r="M7" s="888">
        <f>(B37+C37+D37)/3</f>
        <v>0</v>
      </c>
      <c r="N7" s="888"/>
      <c r="O7" s="23"/>
      <c r="P7" s="72">
        <v>17</v>
      </c>
      <c r="Q7" s="72">
        <v>0</v>
      </c>
      <c r="R7" s="72">
        <f>(P7-Q7)</f>
        <v>17</v>
      </c>
      <c r="S7" s="23"/>
      <c r="T7" s="72">
        <v>16</v>
      </c>
      <c r="U7" s="72">
        <v>0</v>
      </c>
      <c r="V7" s="72">
        <f>(T7-U7)</f>
        <v>16</v>
      </c>
      <c r="W7" s="72"/>
      <c r="X7" s="72">
        <v>7</v>
      </c>
      <c r="Y7" s="72">
        <v>0</v>
      </c>
      <c r="Z7" s="72">
        <f>(X7-Y7)</f>
        <v>7</v>
      </c>
      <c r="AB7" s="4" t="s">
        <v>21</v>
      </c>
      <c r="AC7" s="3">
        <f>(Q7)*10</f>
        <v>0</v>
      </c>
      <c r="AD7" s="39">
        <f>(10*AC7)/10</f>
        <v>0</v>
      </c>
    </row>
    <row r="8" spans="1:30" ht="14.25" customHeight="1" x14ac:dyDescent="0.2">
      <c r="C8" s="458" t="s">
        <v>30</v>
      </c>
      <c r="D8" s="458"/>
      <c r="E8" s="458"/>
      <c r="F8" s="458"/>
      <c r="G8" s="458"/>
      <c r="H8" s="458"/>
      <c r="I8" s="458"/>
      <c r="J8" s="458"/>
      <c r="K8" s="458"/>
      <c r="M8" s="888"/>
      <c r="N8" s="888"/>
      <c r="O8" s="24"/>
      <c r="S8" s="24"/>
      <c r="W8" s="72"/>
      <c r="AB8" s="4" t="s">
        <v>22</v>
      </c>
      <c r="AC8" s="3">
        <f>(Y7)*10</f>
        <v>0</v>
      </c>
      <c r="AD8" s="39">
        <f>(10*AC8)/10</f>
        <v>0</v>
      </c>
    </row>
    <row r="9" spans="1:30" ht="14.25" customHeight="1" x14ac:dyDescent="0.2">
      <c r="C9" s="458"/>
      <c r="D9" s="458"/>
      <c r="E9" s="458"/>
      <c r="F9" s="458"/>
      <c r="G9" s="458"/>
      <c r="H9" s="458"/>
      <c r="I9" s="458"/>
      <c r="J9" s="458"/>
      <c r="K9" s="458"/>
      <c r="M9" s="761" t="s">
        <v>108</v>
      </c>
      <c r="N9" s="761"/>
      <c r="P9" s="525" t="s">
        <v>95</v>
      </c>
      <c r="Q9" s="525"/>
      <c r="R9" s="525"/>
      <c r="T9" s="525" t="s">
        <v>87</v>
      </c>
      <c r="U9" s="525"/>
      <c r="V9" s="525"/>
      <c r="X9" s="525" t="s">
        <v>102</v>
      </c>
      <c r="Y9" s="525"/>
      <c r="Z9" s="525"/>
      <c r="AB9" s="525" t="s">
        <v>61</v>
      </c>
      <c r="AC9" s="525"/>
      <c r="AD9" s="525"/>
    </row>
    <row r="10" spans="1:30" ht="13.5" customHeight="1" x14ac:dyDescent="0.25">
      <c r="J10" s="2"/>
      <c r="K10" s="2"/>
      <c r="M10" s="886">
        <v>66.67</v>
      </c>
      <c r="N10" s="887"/>
      <c r="P10" s="72" t="s">
        <v>46</v>
      </c>
      <c r="Q10" s="72" t="s">
        <v>14</v>
      </c>
      <c r="R10" s="72" t="s">
        <v>13</v>
      </c>
      <c r="T10" s="72" t="s">
        <v>46</v>
      </c>
      <c r="U10" s="72" t="s">
        <v>14</v>
      </c>
      <c r="V10" s="72" t="s">
        <v>13</v>
      </c>
      <c r="X10" s="72" t="s">
        <v>46</v>
      </c>
      <c r="Y10" s="72" t="s">
        <v>14</v>
      </c>
      <c r="Z10" s="72" t="s">
        <v>13</v>
      </c>
      <c r="AB10" s="4" t="s">
        <v>20</v>
      </c>
      <c r="AC10" s="3">
        <f>(U11)*10</f>
        <v>0</v>
      </c>
      <c r="AD10" s="39">
        <f>(10*AC10)/10</f>
        <v>0</v>
      </c>
    </row>
    <row r="11" spans="1:30" ht="13.5" customHeight="1" x14ac:dyDescent="0.25">
      <c r="J11" s="2"/>
      <c r="K11" s="2"/>
      <c r="P11" s="72">
        <v>8</v>
      </c>
      <c r="Q11" s="72">
        <v>0</v>
      </c>
      <c r="R11" s="72">
        <f>(P11-Q11)</f>
        <v>8</v>
      </c>
      <c r="T11" s="72">
        <v>7</v>
      </c>
      <c r="U11" s="72">
        <v>0</v>
      </c>
      <c r="V11" s="72">
        <f>(T11-U11)</f>
        <v>7</v>
      </c>
      <c r="X11" s="72">
        <v>7</v>
      </c>
      <c r="Y11" s="72">
        <v>0</v>
      </c>
      <c r="Z11" s="72">
        <f>(X11-Y11)</f>
        <v>7</v>
      </c>
      <c r="AB11" s="4" t="s">
        <v>21</v>
      </c>
      <c r="AC11" s="3">
        <f>(Q11)*10</f>
        <v>0</v>
      </c>
      <c r="AD11" s="39">
        <f>(10*AC11)/10</f>
        <v>0</v>
      </c>
    </row>
    <row r="12" spans="1:30" ht="14.25" customHeight="1" x14ac:dyDescent="0.2">
      <c r="A12" s="511" t="s">
        <v>26</v>
      </c>
      <c r="B12" s="511"/>
      <c r="C12" s="511"/>
      <c r="D12" s="511"/>
      <c r="E12" s="511"/>
      <c r="F12" s="511"/>
      <c r="G12" s="511"/>
      <c r="H12" s="511"/>
      <c r="I12" s="511"/>
      <c r="J12" s="511"/>
      <c r="K12" s="511"/>
      <c r="L12" s="511"/>
      <c r="M12" s="511"/>
      <c r="N12" s="511"/>
      <c r="O12" s="81"/>
      <c r="S12" s="81"/>
      <c r="AB12" s="4" t="s">
        <v>22</v>
      </c>
      <c r="AC12" s="3">
        <f>(Y11)*10</f>
        <v>0</v>
      </c>
      <c r="AD12" s="39">
        <f>(10*AC12)/10</f>
        <v>0</v>
      </c>
    </row>
    <row r="13" spans="1:30" ht="30" customHeight="1" x14ac:dyDescent="0.2">
      <c r="A13" s="511"/>
      <c r="B13" s="511"/>
      <c r="C13" s="511"/>
      <c r="D13" s="511"/>
      <c r="E13" s="511"/>
      <c r="F13" s="511"/>
      <c r="G13" s="511"/>
      <c r="H13" s="511"/>
      <c r="I13" s="511"/>
      <c r="J13" s="511"/>
      <c r="K13" s="511"/>
      <c r="L13" s="511"/>
      <c r="M13" s="511"/>
      <c r="N13" s="511"/>
      <c r="O13" s="81"/>
      <c r="P13" s="525" t="s">
        <v>96</v>
      </c>
      <c r="Q13" s="525"/>
      <c r="R13" s="525"/>
      <c r="S13" s="81"/>
      <c r="T13" s="525" t="s">
        <v>88</v>
      </c>
      <c r="U13" s="525"/>
      <c r="V13" s="525"/>
      <c r="X13" s="525" t="s">
        <v>103</v>
      </c>
      <c r="Y13" s="525"/>
      <c r="Z13" s="525"/>
      <c r="AB13" s="525" t="s">
        <v>53</v>
      </c>
      <c r="AC13" s="525"/>
      <c r="AD13" s="525"/>
    </row>
    <row r="14" spans="1:30" ht="14.25" customHeight="1" x14ac:dyDescent="0.2">
      <c r="A14" s="511" t="s">
        <v>27</v>
      </c>
      <c r="B14" s="511"/>
      <c r="C14" s="511"/>
      <c r="D14" s="511"/>
      <c r="E14" s="511"/>
      <c r="F14" s="511"/>
      <c r="G14" s="511"/>
      <c r="H14" s="511"/>
      <c r="I14" s="511"/>
      <c r="J14" s="511"/>
      <c r="K14" s="511"/>
      <c r="L14" s="511"/>
      <c r="M14" s="511"/>
      <c r="N14" s="511"/>
      <c r="O14" s="81"/>
      <c r="P14" s="72" t="s">
        <v>46</v>
      </c>
      <c r="Q14" s="72" t="s">
        <v>14</v>
      </c>
      <c r="R14" s="72" t="s">
        <v>13</v>
      </c>
      <c r="S14" s="81"/>
      <c r="T14" s="72" t="s">
        <v>46</v>
      </c>
      <c r="U14" s="72" t="s">
        <v>14</v>
      </c>
      <c r="V14" s="72" t="s">
        <v>13</v>
      </c>
      <c r="X14" s="72" t="s">
        <v>46</v>
      </c>
      <c r="Y14" s="72" t="s">
        <v>14</v>
      </c>
      <c r="Z14" s="72" t="s">
        <v>13</v>
      </c>
      <c r="AB14" s="4" t="s">
        <v>20</v>
      </c>
      <c r="AC14" s="3">
        <f>(U15)*10</f>
        <v>20</v>
      </c>
      <c r="AD14" s="39">
        <f>(10*AC14)/10</f>
        <v>20</v>
      </c>
    </row>
    <row r="15" spans="1:30" ht="14.25" customHeight="1" x14ac:dyDescent="0.2">
      <c r="A15" s="81"/>
      <c r="B15" s="81"/>
      <c r="C15" s="81"/>
      <c r="D15" s="81"/>
      <c r="E15" s="81"/>
      <c r="F15" s="81"/>
      <c r="G15" s="81"/>
      <c r="H15" s="81"/>
      <c r="I15" s="81"/>
      <c r="J15" s="81"/>
      <c r="K15" s="81"/>
      <c r="L15" s="81"/>
      <c r="M15" s="81"/>
      <c r="N15" s="81"/>
      <c r="O15" s="81"/>
      <c r="P15" s="72">
        <v>12</v>
      </c>
      <c r="Q15" s="72">
        <v>0</v>
      </c>
      <c r="R15" s="72">
        <f>(P15-Q15)</f>
        <v>12</v>
      </c>
      <c r="S15" s="81"/>
      <c r="T15" s="72">
        <v>12</v>
      </c>
      <c r="U15" s="72">
        <v>2</v>
      </c>
      <c r="V15" s="72">
        <f>(T15-U15)</f>
        <v>10</v>
      </c>
      <c r="X15" s="72">
        <v>7</v>
      </c>
      <c r="Y15" s="72">
        <v>0</v>
      </c>
      <c r="Z15" s="72">
        <f>(X15-Y15)</f>
        <v>7</v>
      </c>
      <c r="AB15" s="4" t="s">
        <v>21</v>
      </c>
      <c r="AC15" s="3">
        <f>(Q15)*10</f>
        <v>0</v>
      </c>
      <c r="AD15" s="39">
        <f>(10*AC15)/10</f>
        <v>0</v>
      </c>
    </row>
    <row r="16" spans="1:30" ht="30" customHeight="1" x14ac:dyDescent="0.2">
      <c r="A16" s="765" t="s">
        <v>132</v>
      </c>
      <c r="B16" s="766"/>
      <c r="C16" s="766"/>
      <c r="D16" s="766"/>
      <c r="E16" s="766"/>
      <c r="F16" s="766"/>
      <c r="G16" s="766"/>
      <c r="H16" s="766"/>
      <c r="I16" s="766"/>
      <c r="J16" s="766"/>
      <c r="K16" s="766"/>
      <c r="L16" s="766"/>
      <c r="M16" s="766"/>
      <c r="N16" s="767"/>
      <c r="O16" s="81"/>
      <c r="R16" s="72"/>
      <c r="S16" s="81"/>
      <c r="V16" s="72"/>
      <c r="W16" s="72"/>
      <c r="AB16" s="4" t="s">
        <v>22</v>
      </c>
      <c r="AC16" s="40">
        <f>(Y15)*10</f>
        <v>0</v>
      </c>
      <c r="AD16" s="41">
        <f>(10*AC16)/10</f>
        <v>0</v>
      </c>
    </row>
    <row r="17" spans="1:30" x14ac:dyDescent="0.2">
      <c r="P17" s="525" t="s">
        <v>97</v>
      </c>
      <c r="Q17" s="525"/>
      <c r="R17" s="525"/>
      <c r="T17" s="525" t="s">
        <v>89</v>
      </c>
      <c r="U17" s="525"/>
      <c r="V17" s="525"/>
      <c r="W17" s="72"/>
      <c r="AB17" s="525" t="s">
        <v>62</v>
      </c>
      <c r="AC17" s="525"/>
      <c r="AD17" s="525"/>
    </row>
    <row r="18" spans="1:30" x14ac:dyDescent="0.2">
      <c r="A18" s="59" t="s">
        <v>1</v>
      </c>
      <c r="B18" s="83" t="s">
        <v>3</v>
      </c>
      <c r="C18" s="83" t="s">
        <v>4</v>
      </c>
      <c r="D18" s="83" t="s">
        <v>12</v>
      </c>
      <c r="E18" s="83" t="s">
        <v>111</v>
      </c>
      <c r="F18" s="83" t="s">
        <v>83</v>
      </c>
      <c r="G18" s="83" t="s">
        <v>23</v>
      </c>
      <c r="H18" s="83" t="s">
        <v>131</v>
      </c>
      <c r="I18" s="835" t="s">
        <v>58</v>
      </c>
      <c r="J18" s="835"/>
      <c r="K18" s="835" t="s">
        <v>59</v>
      </c>
      <c r="L18" s="835"/>
      <c r="M18" s="835" t="s">
        <v>2</v>
      </c>
      <c r="N18" s="835"/>
      <c r="O18" s="21"/>
      <c r="P18" s="72" t="s">
        <v>46</v>
      </c>
      <c r="Q18" s="72" t="s">
        <v>14</v>
      </c>
      <c r="R18" s="72" t="s">
        <v>13</v>
      </c>
      <c r="S18" s="21"/>
      <c r="T18" s="72" t="s">
        <v>46</v>
      </c>
      <c r="U18" s="72" t="s">
        <v>14</v>
      </c>
      <c r="V18" s="72" t="s">
        <v>13</v>
      </c>
      <c r="W18" s="72"/>
      <c r="AB18" s="4" t="s">
        <v>20</v>
      </c>
      <c r="AC18" s="3">
        <f>(U19)*10</f>
        <v>0</v>
      </c>
      <c r="AD18" s="39">
        <f>(10*AC18)/10</f>
        <v>0</v>
      </c>
    </row>
    <row r="19" spans="1:30" x14ac:dyDescent="0.2">
      <c r="A19" s="874" t="s">
        <v>60</v>
      </c>
      <c r="B19" s="485">
        <f>100-AD3</f>
        <v>100</v>
      </c>
      <c r="C19" s="485">
        <f>100-AD2</f>
        <v>100</v>
      </c>
      <c r="D19" s="485">
        <f>100-AD4</f>
        <v>100</v>
      </c>
      <c r="E19" s="485"/>
      <c r="F19" s="485"/>
      <c r="G19" s="487"/>
      <c r="H19" s="883"/>
      <c r="I19" s="875"/>
      <c r="J19" s="876"/>
      <c r="K19" s="877"/>
      <c r="L19" s="856"/>
      <c r="M19" s="881"/>
      <c r="N19" s="882"/>
      <c r="O19" s="74"/>
      <c r="P19" s="72">
        <v>8</v>
      </c>
      <c r="Q19" s="72">
        <v>0</v>
      </c>
      <c r="R19" s="72">
        <f>(P19-Q19)</f>
        <v>8</v>
      </c>
      <c r="S19" s="74"/>
      <c r="T19" s="72">
        <v>11</v>
      </c>
      <c r="U19" s="72">
        <v>0</v>
      </c>
      <c r="V19" s="72">
        <f>(T19-U19)</f>
        <v>11</v>
      </c>
      <c r="W19" s="72"/>
      <c r="AB19" s="4" t="s">
        <v>21</v>
      </c>
      <c r="AC19" s="3">
        <f>(Q19)*10</f>
        <v>0</v>
      </c>
      <c r="AD19" s="39">
        <f>(10*AC19)/10</f>
        <v>0</v>
      </c>
    </row>
    <row r="20" spans="1:30" ht="15" thickBot="1" x14ac:dyDescent="0.25">
      <c r="A20" s="476"/>
      <c r="B20" s="478"/>
      <c r="C20" s="478"/>
      <c r="D20" s="478"/>
      <c r="E20" s="478"/>
      <c r="F20" s="478"/>
      <c r="G20" s="480"/>
      <c r="H20" s="871"/>
      <c r="I20" s="577"/>
      <c r="J20" s="472"/>
      <c r="K20" s="471"/>
      <c r="L20" s="472"/>
      <c r="M20" s="471"/>
      <c r="N20" s="472"/>
      <c r="O20" s="81"/>
      <c r="S20" s="81"/>
      <c r="AB20" s="525"/>
      <c r="AC20" s="525"/>
      <c r="AD20" s="66"/>
    </row>
    <row r="21" spans="1:30" ht="29.25" customHeight="1" x14ac:dyDescent="0.2">
      <c r="A21" s="475" t="s">
        <v>52</v>
      </c>
      <c r="B21" s="477">
        <f>100-AD7</f>
        <v>100</v>
      </c>
      <c r="C21" s="477">
        <f>100-AD6</f>
        <v>100</v>
      </c>
      <c r="D21" s="477">
        <f>100-AD8</f>
        <v>100</v>
      </c>
      <c r="E21" s="477">
        <v>100</v>
      </c>
      <c r="F21" s="884">
        <f>(V43)</f>
        <v>0</v>
      </c>
      <c r="G21" s="879">
        <f>(Z43)</f>
        <v>0</v>
      </c>
      <c r="H21" s="870"/>
      <c r="I21" s="577" t="s">
        <v>162</v>
      </c>
      <c r="J21" s="472"/>
      <c r="K21" s="471"/>
      <c r="L21" s="472"/>
      <c r="M21" s="471"/>
      <c r="N21" s="472"/>
      <c r="O21" s="25"/>
      <c r="P21" s="525" t="s">
        <v>98</v>
      </c>
      <c r="Q21" s="525"/>
      <c r="R21" s="525"/>
      <c r="S21" s="25"/>
      <c r="T21" s="525" t="s">
        <v>90</v>
      </c>
      <c r="U21" s="525"/>
      <c r="V21" s="525"/>
      <c r="AB21" s="525" t="s">
        <v>64</v>
      </c>
      <c r="AC21" s="525"/>
      <c r="AD21" s="525"/>
    </row>
    <row r="22" spans="1:30" ht="87" customHeight="1" thickBot="1" x14ac:dyDescent="0.25">
      <c r="A22" s="476"/>
      <c r="B22" s="478"/>
      <c r="C22" s="478"/>
      <c r="D22" s="478"/>
      <c r="E22" s="478"/>
      <c r="F22" s="885"/>
      <c r="G22" s="880"/>
      <c r="H22" s="871"/>
      <c r="I22" s="577" t="s">
        <v>160</v>
      </c>
      <c r="J22" s="472"/>
      <c r="K22" s="471"/>
      <c r="L22" s="472"/>
      <c r="M22" s="471"/>
      <c r="N22" s="472"/>
      <c r="O22" s="25"/>
      <c r="P22" s="72" t="s">
        <v>46</v>
      </c>
      <c r="Q22" s="72" t="s">
        <v>14</v>
      </c>
      <c r="R22" s="72" t="s">
        <v>13</v>
      </c>
      <c r="S22" s="25"/>
      <c r="T22" s="72" t="s">
        <v>46</v>
      </c>
      <c r="U22" s="72" t="s">
        <v>14</v>
      </c>
      <c r="V22" s="72" t="s">
        <v>13</v>
      </c>
      <c r="AB22" s="4" t="s">
        <v>20</v>
      </c>
      <c r="AC22" s="3">
        <f>(U23)*10</f>
        <v>0</v>
      </c>
      <c r="AD22" s="39">
        <f>(10*AC22)/10</f>
        <v>0</v>
      </c>
    </row>
    <row r="23" spans="1:30" ht="15" customHeight="1" x14ac:dyDescent="0.2">
      <c r="A23" s="475" t="s">
        <v>61</v>
      </c>
      <c r="B23" s="477">
        <f>100-AD11</f>
        <v>100</v>
      </c>
      <c r="C23" s="477">
        <f>100-AD10</f>
        <v>100</v>
      </c>
      <c r="D23" s="477">
        <f>100-AD12</f>
        <v>100</v>
      </c>
      <c r="E23" s="477"/>
      <c r="F23" s="477"/>
      <c r="G23" s="479"/>
      <c r="H23" s="870"/>
      <c r="I23" s="577"/>
      <c r="J23" s="472"/>
      <c r="K23" s="471"/>
      <c r="L23" s="472"/>
      <c r="M23" s="471"/>
      <c r="N23" s="472"/>
      <c r="O23" s="25"/>
      <c r="P23" s="72">
        <v>6</v>
      </c>
      <c r="Q23" s="72">
        <v>0</v>
      </c>
      <c r="R23" s="72">
        <f>(P23-Q23)</f>
        <v>6</v>
      </c>
      <c r="S23" s="25"/>
      <c r="T23" s="72">
        <v>4</v>
      </c>
      <c r="U23" s="72">
        <v>0</v>
      </c>
      <c r="V23" s="72">
        <f>(T23-U23)</f>
        <v>4</v>
      </c>
      <c r="AB23" s="4" t="s">
        <v>21</v>
      </c>
      <c r="AC23" s="3">
        <f>(Q23)*10</f>
        <v>0</v>
      </c>
      <c r="AD23" s="39">
        <f>(10*AC23)/10</f>
        <v>0</v>
      </c>
    </row>
    <row r="24" spans="1:30" ht="15" thickBot="1" x14ac:dyDescent="0.25">
      <c r="A24" s="476"/>
      <c r="B24" s="478"/>
      <c r="C24" s="478"/>
      <c r="D24" s="478"/>
      <c r="E24" s="478"/>
      <c r="F24" s="478"/>
      <c r="G24" s="480"/>
      <c r="H24" s="871"/>
      <c r="I24" s="577"/>
      <c r="J24" s="472"/>
      <c r="K24" s="471"/>
      <c r="L24" s="472"/>
      <c r="M24" s="471"/>
      <c r="N24" s="472"/>
      <c r="O24" s="25"/>
      <c r="S24" s="25"/>
    </row>
    <row r="25" spans="1:30" x14ac:dyDescent="0.2">
      <c r="A25" s="475" t="s">
        <v>53</v>
      </c>
      <c r="B25" s="477">
        <f>100-AD15</f>
        <v>100</v>
      </c>
      <c r="C25" s="477">
        <f>100-AD14</f>
        <v>80</v>
      </c>
      <c r="D25" s="477">
        <f>100-AD16</f>
        <v>100</v>
      </c>
      <c r="E25" s="477">
        <v>100</v>
      </c>
      <c r="F25" s="477"/>
      <c r="G25" s="479"/>
      <c r="H25" s="482"/>
      <c r="I25" s="577"/>
      <c r="J25" s="472"/>
      <c r="K25" s="471"/>
      <c r="L25" s="511"/>
      <c r="M25" s="471"/>
      <c r="N25" s="472"/>
      <c r="O25" s="25"/>
      <c r="S25" s="25"/>
      <c r="AB25" s="525"/>
      <c r="AC25" s="525"/>
      <c r="AD25" s="66"/>
    </row>
    <row r="26" spans="1:30" ht="15" thickBot="1" x14ac:dyDescent="0.25">
      <c r="A26" s="476"/>
      <c r="B26" s="478"/>
      <c r="C26" s="478"/>
      <c r="D26" s="478"/>
      <c r="E26" s="478"/>
      <c r="F26" s="478"/>
      <c r="G26" s="480"/>
      <c r="H26" s="483"/>
      <c r="I26" s="577" t="s">
        <v>161</v>
      </c>
      <c r="J26" s="472"/>
      <c r="K26" s="471"/>
      <c r="L26" s="472"/>
      <c r="M26" s="471"/>
      <c r="N26" s="472"/>
      <c r="O26" s="25"/>
      <c r="P26" s="525" t="s">
        <v>99</v>
      </c>
      <c r="Q26" s="525"/>
      <c r="R26" s="525"/>
      <c r="S26" s="25"/>
      <c r="T26" s="525" t="s">
        <v>91</v>
      </c>
      <c r="U26" s="525"/>
      <c r="V26" s="525"/>
      <c r="AB26" s="525" t="s">
        <v>65</v>
      </c>
      <c r="AC26" s="525"/>
      <c r="AD26" s="525"/>
    </row>
    <row r="27" spans="1:30" x14ac:dyDescent="0.2">
      <c r="A27" s="475" t="s">
        <v>62</v>
      </c>
      <c r="B27" s="477">
        <f>100-AD19</f>
        <v>100</v>
      </c>
      <c r="C27" s="477">
        <f>100-AD18</f>
        <v>100</v>
      </c>
      <c r="D27" s="477"/>
      <c r="E27" s="477">
        <v>100</v>
      </c>
      <c r="F27" s="477"/>
      <c r="G27" s="479"/>
      <c r="H27" s="774"/>
      <c r="I27" s="878"/>
      <c r="J27" s="857"/>
      <c r="K27" s="877"/>
      <c r="L27" s="856"/>
      <c r="M27" s="860"/>
      <c r="N27" s="861"/>
      <c r="O27" s="74"/>
      <c r="P27" s="72" t="s">
        <v>46</v>
      </c>
      <c r="Q27" s="72" t="s">
        <v>14</v>
      </c>
      <c r="R27" s="72" t="s">
        <v>13</v>
      </c>
      <c r="S27" s="74"/>
      <c r="T27" s="72" t="s">
        <v>46</v>
      </c>
      <c r="U27" s="72" t="s">
        <v>14</v>
      </c>
      <c r="V27" s="72" t="s">
        <v>13</v>
      </c>
      <c r="AB27" s="4" t="s">
        <v>20</v>
      </c>
      <c r="AC27" s="3">
        <f>(U28)*10</f>
        <v>0</v>
      </c>
      <c r="AD27" s="39">
        <f>(10*AC27)/10</f>
        <v>0</v>
      </c>
    </row>
    <row r="28" spans="1:30" ht="15" thickBot="1" x14ac:dyDescent="0.25">
      <c r="A28" s="476"/>
      <c r="B28" s="478"/>
      <c r="C28" s="478"/>
      <c r="D28" s="478"/>
      <c r="E28" s="478"/>
      <c r="F28" s="478"/>
      <c r="G28" s="480"/>
      <c r="H28" s="775"/>
      <c r="I28" s="577"/>
      <c r="J28" s="472"/>
      <c r="K28" s="471"/>
      <c r="L28" s="511"/>
      <c r="M28" s="471"/>
      <c r="N28" s="472"/>
      <c r="O28" s="74"/>
      <c r="P28" s="72">
        <v>3</v>
      </c>
      <c r="Q28" s="72">
        <v>0</v>
      </c>
      <c r="R28" s="72">
        <f>(P28-Q28)</f>
        <v>3</v>
      </c>
      <c r="S28" s="74"/>
      <c r="T28" s="72">
        <v>1</v>
      </c>
      <c r="U28" s="72">
        <v>0</v>
      </c>
      <c r="V28" s="72">
        <f>(T28-U28)</f>
        <v>1</v>
      </c>
      <c r="AB28" s="4" t="s">
        <v>21</v>
      </c>
      <c r="AC28" s="3">
        <f>(Q28)*10</f>
        <v>0</v>
      </c>
      <c r="AD28" s="39">
        <f>(10*AC28)/10</f>
        <v>0</v>
      </c>
    </row>
    <row r="29" spans="1:30" x14ac:dyDescent="0.2">
      <c r="A29" s="475" t="s">
        <v>125</v>
      </c>
      <c r="B29" s="477">
        <f>100-AD23</f>
        <v>100</v>
      </c>
      <c r="C29" s="477">
        <f>100-AD22</f>
        <v>100</v>
      </c>
      <c r="D29" s="477"/>
      <c r="E29" s="477"/>
      <c r="F29" s="477"/>
      <c r="G29" s="479"/>
      <c r="H29" s="482"/>
      <c r="I29" s="872"/>
      <c r="J29" s="861"/>
      <c r="K29" s="860"/>
      <c r="L29" s="873"/>
      <c r="M29" s="860"/>
      <c r="N29" s="861"/>
      <c r="O29" s="25"/>
      <c r="S29" s="25"/>
      <c r="AB29" s="525"/>
      <c r="AC29" s="525"/>
      <c r="AD29" s="66"/>
    </row>
    <row r="30" spans="1:30" ht="15" thickBot="1" x14ac:dyDescent="0.25">
      <c r="A30" s="476"/>
      <c r="B30" s="478"/>
      <c r="C30" s="478"/>
      <c r="D30" s="478"/>
      <c r="E30" s="478"/>
      <c r="F30" s="478"/>
      <c r="G30" s="480"/>
      <c r="H30" s="483"/>
      <c r="I30" s="872"/>
      <c r="J30" s="861"/>
      <c r="K30" s="860"/>
      <c r="L30" s="873"/>
      <c r="M30" s="860"/>
      <c r="N30" s="861"/>
      <c r="O30" s="25"/>
      <c r="P30" s="525" t="s">
        <v>100</v>
      </c>
      <c r="Q30" s="525"/>
      <c r="R30" s="525"/>
      <c r="S30" s="25"/>
      <c r="T30" s="525" t="s">
        <v>92</v>
      </c>
      <c r="U30" s="525"/>
      <c r="V30" s="525"/>
      <c r="AB30" s="525" t="s">
        <v>63</v>
      </c>
      <c r="AC30" s="525"/>
      <c r="AD30" s="525"/>
    </row>
    <row r="31" spans="1:30" x14ac:dyDescent="0.2">
      <c r="A31" s="475" t="s">
        <v>65</v>
      </c>
      <c r="B31" s="477">
        <f>100-AD28</f>
        <v>100</v>
      </c>
      <c r="C31" s="477">
        <f>100-AD27</f>
        <v>100</v>
      </c>
      <c r="D31" s="477"/>
      <c r="E31" s="477">
        <v>100</v>
      </c>
      <c r="F31" s="477"/>
      <c r="G31" s="479"/>
      <c r="H31" s="482"/>
      <c r="I31" s="872"/>
      <c r="J31" s="861"/>
      <c r="K31" s="860"/>
      <c r="L31" s="873"/>
      <c r="M31" s="860"/>
      <c r="N31" s="861"/>
      <c r="O31" s="25"/>
      <c r="P31" s="72" t="s">
        <v>46</v>
      </c>
      <c r="Q31" s="72" t="s">
        <v>14</v>
      </c>
      <c r="R31" s="72" t="s">
        <v>13</v>
      </c>
      <c r="S31" s="25"/>
      <c r="T31" s="72" t="s">
        <v>46</v>
      </c>
      <c r="U31" s="72" t="s">
        <v>14</v>
      </c>
      <c r="V31" s="72" t="s">
        <v>13</v>
      </c>
      <c r="AB31" s="4" t="s">
        <v>20</v>
      </c>
      <c r="AC31" s="3">
        <f>(U32)*10</f>
        <v>0</v>
      </c>
      <c r="AD31" s="39">
        <f>(10*AC31)/10</f>
        <v>0</v>
      </c>
    </row>
    <row r="32" spans="1:30" ht="15" thickBot="1" x14ac:dyDescent="0.25">
      <c r="A32" s="476"/>
      <c r="B32" s="478"/>
      <c r="C32" s="478"/>
      <c r="D32" s="478"/>
      <c r="E32" s="478"/>
      <c r="F32" s="478"/>
      <c r="G32" s="480"/>
      <c r="H32" s="483"/>
      <c r="I32" s="872"/>
      <c r="J32" s="861"/>
      <c r="K32" s="860"/>
      <c r="L32" s="873"/>
      <c r="M32" s="860"/>
      <c r="N32" s="861"/>
      <c r="O32" s="81"/>
      <c r="P32" s="72">
        <v>10</v>
      </c>
      <c r="Q32" s="72">
        <v>0</v>
      </c>
      <c r="R32" s="72">
        <f>(P32-Q32)</f>
        <v>10</v>
      </c>
      <c r="S32" s="81"/>
      <c r="T32" s="72">
        <v>8</v>
      </c>
      <c r="U32" s="72">
        <v>0</v>
      </c>
      <c r="V32" s="72">
        <f>(T32-U32)</f>
        <v>8</v>
      </c>
      <c r="AB32" s="4" t="s">
        <v>21</v>
      </c>
      <c r="AC32" s="3">
        <f>(Q32)*10</f>
        <v>0</v>
      </c>
      <c r="AD32" s="39">
        <f>(10*AC32)/10</f>
        <v>0</v>
      </c>
    </row>
    <row r="33" spans="1:30" x14ac:dyDescent="0.2">
      <c r="A33" s="475" t="s">
        <v>63</v>
      </c>
      <c r="B33" s="477">
        <f>100-AD32</f>
        <v>100</v>
      </c>
      <c r="C33" s="477">
        <f>100-AD31</f>
        <v>100</v>
      </c>
      <c r="D33" s="477"/>
      <c r="E33" s="477"/>
      <c r="F33" s="477"/>
      <c r="G33" s="479"/>
      <c r="H33" s="482"/>
      <c r="I33" s="872"/>
      <c r="J33" s="861"/>
      <c r="K33" s="860"/>
      <c r="L33" s="873"/>
      <c r="M33" s="860"/>
      <c r="N33" s="861"/>
      <c r="O33" s="81"/>
      <c r="P33" s="72"/>
      <c r="Q33" s="72"/>
      <c r="R33" s="72"/>
      <c r="S33" s="81"/>
      <c r="T33" s="72"/>
      <c r="U33" s="72"/>
      <c r="V33" s="72"/>
      <c r="AB33" s="4"/>
      <c r="AC33" s="3"/>
      <c r="AD33" s="39"/>
    </row>
    <row r="34" spans="1:30" ht="15" thickBot="1" x14ac:dyDescent="0.25">
      <c r="A34" s="476"/>
      <c r="B34" s="478"/>
      <c r="C34" s="478"/>
      <c r="D34" s="478"/>
      <c r="E34" s="478"/>
      <c r="F34" s="478"/>
      <c r="G34" s="480"/>
      <c r="H34" s="483"/>
      <c r="I34" s="872"/>
      <c r="J34" s="861"/>
      <c r="K34" s="860"/>
      <c r="L34" s="873"/>
      <c r="M34" s="860"/>
      <c r="N34" s="861"/>
      <c r="O34" s="81"/>
      <c r="P34" s="72"/>
      <c r="Q34" s="72"/>
      <c r="R34" s="72"/>
      <c r="S34" s="81"/>
      <c r="T34" s="72"/>
      <c r="U34" s="72"/>
      <c r="V34" s="72"/>
      <c r="AB34" s="4"/>
      <c r="AC34" s="3"/>
      <c r="AD34" s="39"/>
    </row>
    <row r="35" spans="1:30" ht="22.5" customHeight="1" x14ac:dyDescent="0.2">
      <c r="A35" s="475" t="s">
        <v>19</v>
      </c>
      <c r="B35" s="827">
        <f>(T46)*10</f>
        <v>0</v>
      </c>
      <c r="C35" s="828"/>
      <c r="D35" s="828"/>
      <c r="E35" s="828"/>
      <c r="F35" s="828"/>
      <c r="G35" s="829"/>
      <c r="H35" s="870">
        <f>(B35)</f>
        <v>0</v>
      </c>
      <c r="I35" s="577" t="s">
        <v>163</v>
      </c>
      <c r="J35" s="472"/>
      <c r="K35" s="471"/>
      <c r="L35" s="472"/>
      <c r="M35" s="471"/>
      <c r="N35" s="472"/>
      <c r="O35" s="74"/>
      <c r="S35" s="74"/>
    </row>
    <row r="36" spans="1:30" ht="22.5" customHeight="1" thickBot="1" x14ac:dyDescent="0.25">
      <c r="A36" s="805"/>
      <c r="B36" s="830"/>
      <c r="C36" s="831"/>
      <c r="D36" s="831"/>
      <c r="E36" s="831"/>
      <c r="F36" s="831"/>
      <c r="G36" s="832"/>
      <c r="H36" s="871"/>
      <c r="I36" s="785"/>
      <c r="J36" s="491"/>
      <c r="K36" s="490"/>
      <c r="L36" s="491"/>
      <c r="M36" s="490"/>
      <c r="N36" s="491"/>
      <c r="O36" s="74"/>
      <c r="S36" s="74"/>
    </row>
    <row r="37" spans="1:30" ht="20.25" customHeight="1" thickBot="1" x14ac:dyDescent="0.25">
      <c r="A37" s="54" t="s">
        <v>82</v>
      </c>
      <c r="B37" s="55"/>
      <c r="C37" s="55"/>
      <c r="D37" s="55"/>
      <c r="E37" s="55">
        <f>(R43)</f>
        <v>0</v>
      </c>
      <c r="F37" s="58">
        <f>(F21)</f>
        <v>0</v>
      </c>
      <c r="G37" s="58">
        <f>(G21)</f>
        <v>0</v>
      </c>
      <c r="H37" s="56"/>
      <c r="I37" s="30"/>
      <c r="J37" s="30"/>
      <c r="K37" s="30"/>
      <c r="L37" s="30"/>
      <c r="M37" s="30"/>
      <c r="N37" s="30"/>
      <c r="O37" s="74"/>
    </row>
    <row r="38" spans="1:30" x14ac:dyDescent="0.2">
      <c r="A38" s="13"/>
      <c r="B38" s="26"/>
      <c r="C38" s="26"/>
      <c r="D38" s="26"/>
      <c r="E38" s="26"/>
      <c r="F38" s="26"/>
      <c r="G38" s="26"/>
      <c r="H38" s="26"/>
      <c r="I38" s="14"/>
      <c r="J38" s="14"/>
      <c r="K38" s="14"/>
      <c r="L38" s="14"/>
      <c r="M38" s="14"/>
      <c r="N38" s="14"/>
      <c r="O38" s="74"/>
    </row>
    <row r="39" spans="1:30" ht="15.75" customHeight="1" x14ac:dyDescent="0.2">
      <c r="A39" s="815" t="s">
        <v>18</v>
      </c>
      <c r="B39" s="815"/>
      <c r="C39" s="815"/>
      <c r="E39" s="850" t="s">
        <v>19</v>
      </c>
      <c r="F39" s="850"/>
      <c r="G39" s="850"/>
      <c r="H39" s="850"/>
      <c r="I39" s="850"/>
      <c r="J39" s="850"/>
      <c r="K39" s="850"/>
      <c r="L39" s="850"/>
      <c r="M39" s="850"/>
      <c r="N39" s="20"/>
    </row>
    <row r="40" spans="1:30" ht="15.75" customHeight="1" x14ac:dyDescent="0.2">
      <c r="A40" s="45" t="s">
        <v>1</v>
      </c>
      <c r="B40" s="45" t="s">
        <v>120</v>
      </c>
      <c r="C40" s="27" t="s">
        <v>117</v>
      </c>
      <c r="E40" s="52" t="s">
        <v>40</v>
      </c>
      <c r="F40" s="52" t="s">
        <v>73</v>
      </c>
      <c r="G40" s="52" t="s">
        <v>121</v>
      </c>
      <c r="H40" s="52" t="s">
        <v>41</v>
      </c>
      <c r="I40" s="52" t="s">
        <v>55</v>
      </c>
      <c r="J40" s="52" t="s">
        <v>42</v>
      </c>
      <c r="K40" s="52" t="s">
        <v>43</v>
      </c>
      <c r="L40" s="52" t="s">
        <v>44</v>
      </c>
      <c r="M40" s="52" t="s">
        <v>45</v>
      </c>
    </row>
    <row r="41" spans="1:30" ht="14.25" customHeight="1" x14ac:dyDescent="0.2">
      <c r="A41" s="61" t="s">
        <v>75</v>
      </c>
      <c r="B41" s="28" t="s">
        <v>77</v>
      </c>
      <c r="C41" s="61"/>
      <c r="E41" s="61">
        <v>0</v>
      </c>
      <c r="F41" s="61">
        <v>0</v>
      </c>
      <c r="G41" s="61" t="s">
        <v>24</v>
      </c>
      <c r="H41" s="61" t="s">
        <v>24</v>
      </c>
      <c r="I41" s="61">
        <v>0</v>
      </c>
      <c r="J41" s="61">
        <v>0</v>
      </c>
      <c r="K41" s="61">
        <v>0</v>
      </c>
      <c r="L41" s="61">
        <v>0</v>
      </c>
      <c r="M41" s="61">
        <v>0</v>
      </c>
      <c r="S41" s="31"/>
    </row>
    <row r="42" spans="1:30" ht="14.25" customHeight="1" x14ac:dyDescent="0.2">
      <c r="A42" s="61" t="s">
        <v>76</v>
      </c>
      <c r="B42" s="28" t="s">
        <v>78</v>
      </c>
      <c r="C42" s="61"/>
      <c r="I42" s="74"/>
      <c r="P42" s="851" t="s">
        <v>126</v>
      </c>
      <c r="Q42" s="851"/>
      <c r="R42" s="851"/>
      <c r="S42" s="31"/>
      <c r="T42" s="852" t="s">
        <v>18</v>
      </c>
      <c r="U42" s="852"/>
      <c r="V42" s="852"/>
      <c r="X42" s="840" t="s">
        <v>47</v>
      </c>
      <c r="Y42" s="840"/>
      <c r="Z42" s="840"/>
    </row>
    <row r="43" spans="1:30" ht="14.25" customHeight="1" x14ac:dyDescent="0.2">
      <c r="A43" s="61" t="s">
        <v>107</v>
      </c>
      <c r="B43" s="28" t="s">
        <v>78</v>
      </c>
      <c r="C43" s="61"/>
      <c r="E43" s="66"/>
      <c r="F43" s="841" t="s">
        <v>74</v>
      </c>
      <c r="G43" s="842"/>
      <c r="H43" s="13"/>
      <c r="I43" s="13"/>
      <c r="J43" s="13"/>
      <c r="K43" s="843" t="s">
        <v>49</v>
      </c>
      <c r="L43" s="843"/>
      <c r="N43" s="66"/>
      <c r="O43" s="66"/>
      <c r="P43" s="844">
        <v>0</v>
      </c>
      <c r="Q43" s="844"/>
      <c r="R43" s="78">
        <f>(25*P43)</f>
        <v>0</v>
      </c>
      <c r="T43" s="845">
        <v>0</v>
      </c>
      <c r="U43" s="845"/>
      <c r="V43" s="79">
        <f>(16.66666667*T43)</f>
        <v>0</v>
      </c>
      <c r="X43" s="846">
        <v>0</v>
      </c>
      <c r="Y43" s="846"/>
      <c r="Z43" s="80">
        <f>(16.66666667*X43)</f>
        <v>0</v>
      </c>
    </row>
    <row r="44" spans="1:30" ht="14.25" customHeight="1" x14ac:dyDescent="0.2">
      <c r="A44" s="61" t="s">
        <v>66</v>
      </c>
      <c r="B44" s="28" t="s">
        <v>79</v>
      </c>
      <c r="C44" s="61"/>
      <c r="E44" s="66"/>
      <c r="F44" s="51" t="s">
        <v>69</v>
      </c>
      <c r="G44" s="51" t="s">
        <v>50</v>
      </c>
      <c r="H44" s="66"/>
      <c r="I44" s="66"/>
      <c r="J44" s="66"/>
      <c r="K44" s="51" t="s">
        <v>69</v>
      </c>
      <c r="L44" s="51" t="s">
        <v>50</v>
      </c>
      <c r="N44" s="31"/>
      <c r="O44" s="31"/>
      <c r="P44" s="31"/>
      <c r="Q44" s="31"/>
      <c r="R44" s="31"/>
    </row>
    <row r="45" spans="1:30" ht="14.25" customHeight="1" x14ac:dyDescent="0.2">
      <c r="A45" s="61" t="s">
        <v>67</v>
      </c>
      <c r="B45" s="28" t="s">
        <v>78</v>
      </c>
      <c r="C45" s="61"/>
      <c r="E45" s="66"/>
      <c r="F45" s="61">
        <v>3</v>
      </c>
      <c r="G45" s="61">
        <v>0</v>
      </c>
      <c r="H45" s="66"/>
      <c r="I45" s="66"/>
      <c r="J45" s="66"/>
      <c r="K45" s="61">
        <v>2</v>
      </c>
      <c r="L45" s="61">
        <v>0</v>
      </c>
      <c r="N45" s="31"/>
      <c r="O45" s="31"/>
      <c r="T45" s="847" t="s">
        <v>48</v>
      </c>
      <c r="U45" s="847"/>
      <c r="V45" s="847"/>
    </row>
    <row r="46" spans="1:30" ht="14.25" customHeight="1" x14ac:dyDescent="0.2">
      <c r="A46" s="61" t="s">
        <v>68</v>
      </c>
      <c r="B46" s="28" t="s">
        <v>136</v>
      </c>
      <c r="C46" s="61"/>
      <c r="E46" s="72"/>
      <c r="F46" s="72"/>
      <c r="N46" s="31"/>
      <c r="O46" s="31"/>
      <c r="S46" s="31"/>
      <c r="T46" s="848">
        <f>SUM(I41+J41+K41+L41+E41+F41+M41)/7</f>
        <v>0</v>
      </c>
      <c r="U46" s="848"/>
      <c r="V46" s="848"/>
    </row>
    <row r="47" spans="1:30" ht="14.25" customHeight="1" x14ac:dyDescent="0.2">
      <c r="G47" s="789" t="s">
        <v>51</v>
      </c>
      <c r="H47" s="790"/>
      <c r="I47" s="790"/>
      <c r="J47" s="790"/>
      <c r="K47" s="791"/>
    </row>
    <row r="48" spans="1:30" ht="22.5" customHeight="1" x14ac:dyDescent="0.2">
      <c r="A48" s="815" t="s">
        <v>115</v>
      </c>
      <c r="B48" s="815"/>
      <c r="C48" s="815"/>
      <c r="G48" s="787" t="s">
        <v>122</v>
      </c>
      <c r="H48" s="61" t="s">
        <v>52</v>
      </c>
      <c r="I48" s="61" t="s">
        <v>106</v>
      </c>
      <c r="J48" s="61" t="s">
        <v>62</v>
      </c>
      <c r="K48" s="61" t="s">
        <v>65</v>
      </c>
    </row>
    <row r="49" spans="1:31" ht="14.25" customHeight="1" x14ac:dyDescent="0.2">
      <c r="A49" s="27" t="s">
        <v>116</v>
      </c>
      <c r="B49" s="27" t="s">
        <v>69</v>
      </c>
      <c r="C49" s="27" t="s">
        <v>117</v>
      </c>
      <c r="G49" s="788"/>
      <c r="H49" s="51" t="s">
        <v>50</v>
      </c>
      <c r="I49" s="51" t="s">
        <v>50</v>
      </c>
      <c r="J49" s="51" t="s">
        <v>50</v>
      </c>
      <c r="K49" s="51" t="s">
        <v>50</v>
      </c>
      <c r="W49" s="66"/>
    </row>
    <row r="50" spans="1:31" ht="14.25" customHeight="1" x14ac:dyDescent="0.2">
      <c r="A50" s="43" t="s">
        <v>112</v>
      </c>
      <c r="B50" s="61" t="s">
        <v>70</v>
      </c>
      <c r="C50" s="61"/>
      <c r="G50" s="61">
        <v>2</v>
      </c>
      <c r="H50" s="61">
        <v>0</v>
      </c>
      <c r="I50" s="61">
        <v>0</v>
      </c>
      <c r="J50" s="61">
        <v>0</v>
      </c>
      <c r="K50" s="61">
        <v>0</v>
      </c>
      <c r="M50" s="72"/>
    </row>
    <row r="51" spans="1:31" ht="14.25" customHeight="1" thickBot="1" x14ac:dyDescent="0.25">
      <c r="A51" s="43" t="s">
        <v>113</v>
      </c>
      <c r="B51" s="61" t="s">
        <v>71</v>
      </c>
      <c r="C51" s="61"/>
      <c r="D51" s="72"/>
      <c r="E51" s="44"/>
      <c r="F51" s="44"/>
      <c r="G51" s="44"/>
      <c r="M51" s="44"/>
      <c r="S51" s="14"/>
      <c r="T51" s="66"/>
      <c r="U51" s="66"/>
      <c r="V51" s="66"/>
    </row>
    <row r="52" spans="1:31" ht="14.25" customHeight="1" x14ac:dyDescent="0.2">
      <c r="A52" s="43" t="s">
        <v>114</v>
      </c>
      <c r="B52" s="61" t="s">
        <v>72</v>
      </c>
      <c r="C52" s="61"/>
      <c r="D52" s="44"/>
      <c r="H52" s="864" t="s">
        <v>142</v>
      </c>
      <c r="I52" s="865"/>
      <c r="J52" s="866"/>
      <c r="N52" s="14"/>
      <c r="S52" s="14"/>
      <c r="W52" s="66"/>
    </row>
    <row r="53" spans="1:31" ht="14.25" customHeight="1" thickBot="1" x14ac:dyDescent="0.25">
      <c r="A53" s="43" t="s">
        <v>109</v>
      </c>
      <c r="B53" s="61" t="s">
        <v>119</v>
      </c>
      <c r="C53" s="61"/>
      <c r="H53" s="867"/>
      <c r="I53" s="868"/>
      <c r="J53" s="869"/>
      <c r="N53" s="14"/>
      <c r="S53" s="14"/>
    </row>
    <row r="54" spans="1:31" ht="14.25" customHeight="1" x14ac:dyDescent="0.2">
      <c r="A54" s="43" t="s">
        <v>118</v>
      </c>
      <c r="B54" s="61" t="s">
        <v>110</v>
      </c>
      <c r="C54" s="61"/>
      <c r="N54" s="14"/>
      <c r="U54" s="66"/>
      <c r="V54" s="66"/>
      <c r="X54" s="66"/>
      <c r="AA54" s="47"/>
    </row>
    <row r="55" spans="1:31" x14ac:dyDescent="0.2">
      <c r="A55" s="72"/>
      <c r="B55" s="72"/>
      <c r="J55" s="42"/>
      <c r="K55" s="42"/>
      <c r="L55" s="42"/>
      <c r="M55" s="42"/>
      <c r="N55" s="42"/>
      <c r="O55" s="14"/>
      <c r="P55" s="14"/>
      <c r="Q55" s="14"/>
      <c r="R55" s="14"/>
      <c r="AA55" s="47"/>
    </row>
    <row r="56" spans="1:31" ht="29.25" customHeight="1" x14ac:dyDescent="0.2">
      <c r="A56" s="455" t="s">
        <v>38</v>
      </c>
      <c r="B56" s="455"/>
      <c r="C56" s="455"/>
      <c r="D56" s="455"/>
      <c r="E56" s="455"/>
      <c r="F56" s="455"/>
      <c r="G56" s="455"/>
      <c r="H56" s="455"/>
      <c r="I56" s="455"/>
      <c r="J56" s="455"/>
      <c r="K56" s="455"/>
      <c r="L56" s="455"/>
      <c r="M56" s="46"/>
      <c r="N56" s="46"/>
      <c r="O56" s="14"/>
      <c r="P56" s="14"/>
      <c r="Q56" s="14"/>
      <c r="R56" s="14"/>
      <c r="AA56" s="47"/>
    </row>
    <row r="57" spans="1:31" ht="15" customHeight="1" x14ac:dyDescent="0.2">
      <c r="A57" s="46"/>
      <c r="B57" s="46"/>
      <c r="C57" s="47"/>
      <c r="D57" s="47"/>
      <c r="E57" s="47"/>
      <c r="F57" s="47"/>
      <c r="G57" s="47"/>
      <c r="H57" s="46"/>
      <c r="I57" s="46"/>
      <c r="J57" s="46"/>
      <c r="K57" s="46"/>
      <c r="L57" s="46"/>
      <c r="M57" s="46"/>
      <c r="N57" s="46"/>
      <c r="O57" s="14"/>
      <c r="P57" s="14"/>
      <c r="Q57" s="14"/>
      <c r="R57" s="14"/>
      <c r="AA57" s="47"/>
    </row>
    <row r="58" spans="1:31" ht="42.75" customHeight="1" x14ac:dyDescent="0.2">
      <c r="A58" s="455" t="s">
        <v>39</v>
      </c>
      <c r="B58" s="455"/>
      <c r="C58" s="455"/>
      <c r="D58" s="455"/>
      <c r="E58" s="455"/>
      <c r="F58" s="455"/>
      <c r="G58" s="455"/>
      <c r="H58" s="455"/>
      <c r="I58" s="455"/>
      <c r="J58" s="455"/>
      <c r="K58" s="455"/>
      <c r="L58" s="455"/>
      <c r="M58" s="81"/>
      <c r="N58" s="81"/>
      <c r="S58" s="48"/>
      <c r="AA58" s="47"/>
    </row>
    <row r="59" spans="1:31" s="72" customFormat="1" ht="30.75" customHeight="1" x14ac:dyDescent="0.2">
      <c r="A59" s="455" t="s">
        <v>28</v>
      </c>
      <c r="B59" s="455"/>
      <c r="C59" s="455"/>
      <c r="D59" s="455"/>
      <c r="E59" s="455"/>
      <c r="F59" s="455"/>
      <c r="G59" s="455"/>
      <c r="H59" s="455"/>
      <c r="I59" s="455"/>
      <c r="J59" s="455"/>
      <c r="K59" s="455"/>
      <c r="L59" s="455"/>
      <c r="M59" s="75"/>
      <c r="N59" s="75"/>
      <c r="S59" s="57"/>
      <c r="W59" s="13"/>
    </row>
    <row r="60" spans="1:31" ht="30" customHeight="1" x14ac:dyDescent="0.2">
      <c r="A60" s="455" t="s">
        <v>29</v>
      </c>
      <c r="B60" s="455"/>
      <c r="C60" s="455"/>
      <c r="D60" s="455"/>
      <c r="E60" s="455"/>
      <c r="F60" s="455"/>
      <c r="G60" s="455"/>
      <c r="H60" s="455"/>
      <c r="I60" s="455"/>
      <c r="J60" s="455"/>
      <c r="K60" s="455"/>
      <c r="L60" s="455"/>
      <c r="M60" s="81"/>
      <c r="N60" s="81"/>
      <c r="S60" s="48"/>
      <c r="W60" s="47"/>
    </row>
    <row r="61" spans="1:31" ht="24" customHeight="1" x14ac:dyDescent="0.2">
      <c r="A61" s="81"/>
      <c r="B61" s="81"/>
      <c r="C61" s="81"/>
      <c r="D61" s="81"/>
      <c r="E61" s="81"/>
      <c r="F61" s="76"/>
      <c r="G61" s="76"/>
      <c r="H61" s="76"/>
      <c r="I61" s="76"/>
      <c r="J61" s="76"/>
      <c r="K61" s="76"/>
      <c r="L61" s="76"/>
      <c r="M61" s="76"/>
      <c r="S61" s="48"/>
      <c r="T61" s="47"/>
      <c r="U61" s="47"/>
      <c r="V61" s="47"/>
      <c r="W61" s="47"/>
      <c r="X61" s="47"/>
      <c r="Y61" s="47"/>
      <c r="Z61" s="47"/>
      <c r="AB61" s="47"/>
      <c r="AC61" s="47"/>
      <c r="AD61" s="47"/>
      <c r="AE61" s="47"/>
    </row>
    <row r="62" spans="1:31" s="47" customFormat="1" ht="31.5" customHeight="1" x14ac:dyDescent="0.2">
      <c r="A62" s="1"/>
      <c r="B62" s="458" t="s">
        <v>5</v>
      </c>
      <c r="C62" s="458"/>
      <c r="D62" s="458"/>
      <c r="E62" s="458"/>
      <c r="F62" s="458"/>
      <c r="G62" s="458"/>
      <c r="H62" s="458"/>
      <c r="I62" s="458"/>
      <c r="J62" s="458"/>
      <c r="K62" s="458"/>
      <c r="L62" s="76"/>
      <c r="M62" s="76"/>
      <c r="N62" s="1"/>
      <c r="O62" s="48"/>
      <c r="P62" s="48"/>
      <c r="Q62" s="48"/>
      <c r="R62" s="48"/>
      <c r="S62" s="48"/>
      <c r="AA62" s="1"/>
    </row>
    <row r="63" spans="1:31" s="47" customFormat="1" ht="19.5" x14ac:dyDescent="0.2">
      <c r="A63" s="1"/>
      <c r="B63" s="76"/>
      <c r="C63" s="76"/>
      <c r="D63" s="76"/>
      <c r="E63" s="76"/>
      <c r="F63" s="1"/>
      <c r="G63" s="1"/>
      <c r="H63" s="1"/>
      <c r="I63" s="1"/>
      <c r="J63" s="1"/>
      <c r="K63" s="1"/>
      <c r="L63" s="1"/>
      <c r="M63" s="1"/>
      <c r="N63" s="1"/>
      <c r="O63" s="48"/>
      <c r="P63" s="48"/>
      <c r="Q63" s="48"/>
      <c r="R63" s="48"/>
      <c r="S63" s="14"/>
      <c r="AA63" s="1"/>
    </row>
    <row r="64" spans="1:31" s="47" customFormat="1" ht="29.25" customHeight="1" x14ac:dyDescent="0.2">
      <c r="A64" s="66"/>
      <c r="B64" s="66"/>
      <c r="C64" s="11" t="s">
        <v>11</v>
      </c>
      <c r="D64" s="12" t="s">
        <v>6</v>
      </c>
      <c r="E64" s="12" t="s">
        <v>7</v>
      </c>
      <c r="F64" s="12" t="s">
        <v>8</v>
      </c>
      <c r="G64" s="12" t="s">
        <v>9</v>
      </c>
      <c r="H64" s="12" t="s">
        <v>10</v>
      </c>
      <c r="I64" s="29" t="s">
        <v>80</v>
      </c>
      <c r="J64" s="29" t="s">
        <v>81</v>
      </c>
      <c r="K64" s="29" t="s">
        <v>123</v>
      </c>
      <c r="L64" s="1"/>
      <c r="M64" s="1"/>
      <c r="N64" s="1"/>
      <c r="O64" s="48"/>
      <c r="P64" s="48"/>
      <c r="Q64" s="48"/>
      <c r="R64" s="48"/>
      <c r="S64" s="14"/>
      <c r="W64" s="72"/>
      <c r="AA64" s="1"/>
    </row>
    <row r="65" spans="1:31" s="47" customFormat="1" ht="25.5" customHeight="1" x14ac:dyDescent="0.2">
      <c r="A65" s="49"/>
      <c r="B65" s="66"/>
      <c r="C65" s="6" t="s">
        <v>124</v>
      </c>
      <c r="D65" s="33"/>
      <c r="E65" s="33"/>
      <c r="F65" s="33"/>
      <c r="G65" s="33"/>
      <c r="H65" s="33"/>
      <c r="I65" s="38">
        <f>SUM(D65:H65)/5</f>
        <v>0</v>
      </c>
      <c r="J65" s="38">
        <v>0.43999999999999995</v>
      </c>
      <c r="K65" s="38">
        <f>J65-I65</f>
        <v>0.43999999999999995</v>
      </c>
      <c r="L65" s="1"/>
      <c r="M65" s="1"/>
      <c r="N65" s="1"/>
      <c r="O65" s="48"/>
      <c r="P65" s="48"/>
      <c r="Q65" s="48"/>
      <c r="R65" s="48"/>
      <c r="S65" s="14"/>
      <c r="W65" s="72"/>
      <c r="AA65" s="1"/>
    </row>
    <row r="66" spans="1:31" s="47" customFormat="1" ht="25.5" customHeight="1" x14ac:dyDescent="0.2">
      <c r="A66" s="49"/>
      <c r="B66" s="66"/>
      <c r="C66" s="6" t="s">
        <v>33</v>
      </c>
      <c r="D66" s="33"/>
      <c r="E66" s="33"/>
      <c r="F66" s="33"/>
      <c r="G66" s="33"/>
      <c r="H66" s="33"/>
      <c r="I66" s="38">
        <f t="shared" ref="I66:I72" si="0">SUM(D66:H66)/5</f>
        <v>0</v>
      </c>
      <c r="J66" s="38">
        <v>2.9959999999999996</v>
      </c>
      <c r="K66" s="38">
        <f>J66-I66</f>
        <v>2.9959999999999996</v>
      </c>
      <c r="L66" s="1"/>
      <c r="M66" s="1"/>
      <c r="N66" s="1"/>
      <c r="O66" s="48"/>
      <c r="P66" s="48"/>
      <c r="Q66" s="48"/>
      <c r="R66" s="48"/>
      <c r="S66" s="1"/>
      <c r="T66" s="1"/>
      <c r="U66" s="1"/>
      <c r="V66" s="72"/>
      <c r="W66" s="72"/>
      <c r="X66" s="1"/>
      <c r="Y66" s="1"/>
      <c r="Z66" s="1"/>
      <c r="AA66" s="1"/>
      <c r="AB66" s="1"/>
      <c r="AC66" s="1"/>
      <c r="AD66" s="1"/>
      <c r="AE66" s="1"/>
    </row>
    <row r="67" spans="1:31" ht="25.5" customHeight="1" x14ac:dyDescent="0.2">
      <c r="A67" s="49"/>
      <c r="B67" s="66"/>
      <c r="C67" s="6" t="s">
        <v>32</v>
      </c>
      <c r="D67" s="33"/>
      <c r="E67" s="33"/>
      <c r="F67" s="33"/>
      <c r="G67" s="33"/>
      <c r="H67" s="33"/>
      <c r="I67" s="38">
        <f t="shared" si="0"/>
        <v>0</v>
      </c>
      <c r="J67" s="61">
        <v>3.274</v>
      </c>
      <c r="K67" s="38">
        <f t="shared" ref="K67:K72" si="1">J67-I67</f>
        <v>3.274</v>
      </c>
      <c r="O67" s="14"/>
      <c r="P67" s="14"/>
      <c r="Q67" s="14"/>
      <c r="R67" s="14"/>
      <c r="V67" s="72"/>
    </row>
    <row r="68" spans="1:31" ht="25.5" customHeight="1" x14ac:dyDescent="0.2">
      <c r="A68" s="49"/>
      <c r="B68" s="50"/>
      <c r="C68" s="7" t="s">
        <v>34</v>
      </c>
      <c r="D68" s="34"/>
      <c r="E68" s="34"/>
      <c r="F68" s="34"/>
      <c r="G68" s="34"/>
      <c r="H68" s="34"/>
      <c r="I68" s="38">
        <f t="shared" si="0"/>
        <v>0</v>
      </c>
      <c r="J68" s="28">
        <v>3.1819999999999999</v>
      </c>
      <c r="K68" s="38">
        <f t="shared" si="1"/>
        <v>3.1819999999999999</v>
      </c>
      <c r="O68" s="14"/>
      <c r="P68" s="14"/>
      <c r="Q68" s="14"/>
      <c r="R68" s="14"/>
      <c r="V68" s="72"/>
    </row>
    <row r="69" spans="1:31" ht="25.5" customHeight="1" x14ac:dyDescent="0.2">
      <c r="A69" s="49"/>
      <c r="B69" s="50"/>
      <c r="C69" s="7" t="s">
        <v>35</v>
      </c>
      <c r="D69" s="34"/>
      <c r="E69" s="8"/>
      <c r="F69" s="8"/>
      <c r="G69" s="8"/>
      <c r="H69" s="8"/>
      <c r="I69" s="38">
        <f t="shared" si="0"/>
        <v>0</v>
      </c>
      <c r="J69" s="28">
        <v>8.2900000000000009</v>
      </c>
      <c r="K69" s="38">
        <f t="shared" si="1"/>
        <v>8.2900000000000009</v>
      </c>
      <c r="O69" s="14"/>
      <c r="P69" s="14"/>
      <c r="Q69" s="14"/>
      <c r="R69" s="14"/>
    </row>
    <row r="70" spans="1:31" ht="25.5" customHeight="1" x14ac:dyDescent="0.2">
      <c r="A70" s="49"/>
      <c r="B70" s="50"/>
      <c r="C70" s="9" t="s">
        <v>37</v>
      </c>
      <c r="D70" s="35"/>
      <c r="E70" s="35"/>
      <c r="F70" s="35"/>
      <c r="G70" s="35"/>
      <c r="H70" s="35"/>
      <c r="I70" s="38">
        <f t="shared" si="0"/>
        <v>0</v>
      </c>
      <c r="J70" s="32">
        <v>2</v>
      </c>
      <c r="K70" s="38">
        <f t="shared" si="1"/>
        <v>2</v>
      </c>
    </row>
    <row r="71" spans="1:31" ht="25.5" customHeight="1" x14ac:dyDescent="0.2">
      <c r="A71" s="49"/>
      <c r="B71" s="50"/>
      <c r="C71" s="10" t="s">
        <v>17</v>
      </c>
      <c r="D71" s="36"/>
      <c r="E71" s="37"/>
      <c r="F71" s="37"/>
      <c r="G71" s="37"/>
      <c r="H71" s="37"/>
      <c r="I71" s="38">
        <f t="shared" si="0"/>
        <v>0</v>
      </c>
      <c r="J71" s="28">
        <v>2.6</v>
      </c>
      <c r="K71" s="38">
        <f t="shared" si="1"/>
        <v>2.6</v>
      </c>
    </row>
    <row r="72" spans="1:31" ht="25.5" customHeight="1" x14ac:dyDescent="0.2">
      <c r="A72" s="49"/>
      <c r="B72" s="50"/>
      <c r="C72" s="10" t="s">
        <v>36</v>
      </c>
      <c r="D72" s="36"/>
      <c r="E72" s="37"/>
      <c r="F72" s="37"/>
      <c r="G72" s="37"/>
      <c r="H72" s="37"/>
      <c r="I72" s="38">
        <f t="shared" si="0"/>
        <v>0</v>
      </c>
      <c r="J72" s="28">
        <v>55.105999999999995</v>
      </c>
      <c r="K72" s="38">
        <f t="shared" si="1"/>
        <v>55.105999999999995</v>
      </c>
    </row>
    <row r="74" spans="1:31" ht="30" x14ac:dyDescent="0.2">
      <c r="B74" s="77"/>
      <c r="C74" s="77"/>
      <c r="D74" s="77"/>
      <c r="E74" s="779" t="s">
        <v>54</v>
      </c>
      <c r="F74" s="779"/>
      <c r="G74" s="779"/>
      <c r="H74" s="779"/>
      <c r="I74" s="77"/>
      <c r="J74" s="77"/>
      <c r="K74" s="77"/>
      <c r="L74" s="77"/>
      <c r="M74" s="77"/>
      <c r="N74" s="77"/>
    </row>
    <row r="75" spans="1:31" ht="18.75" customHeight="1" x14ac:dyDescent="0.2">
      <c r="A75" s="5"/>
      <c r="B75" s="784" t="s">
        <v>23</v>
      </c>
      <c r="C75" s="784"/>
      <c r="D75" s="5"/>
      <c r="F75" s="784" t="s">
        <v>19</v>
      </c>
      <c r="G75" s="784"/>
      <c r="H75" s="5"/>
      <c r="J75" s="784" t="s">
        <v>83</v>
      </c>
      <c r="K75" s="784"/>
      <c r="L75" s="16"/>
      <c r="M75" s="5"/>
      <c r="N75" s="5"/>
    </row>
    <row r="76" spans="1:31" ht="18.75" customHeight="1" x14ac:dyDescent="0.2">
      <c r="B76" s="15" t="s">
        <v>56</v>
      </c>
      <c r="C76" s="15" t="s">
        <v>57</v>
      </c>
      <c r="F76" s="15" t="s">
        <v>56</v>
      </c>
      <c r="G76" s="15" t="s">
        <v>57</v>
      </c>
      <c r="J76" s="15" t="s">
        <v>56</v>
      </c>
      <c r="K76" s="15" t="s">
        <v>57</v>
      </c>
      <c r="S76" s="72"/>
    </row>
    <row r="77" spans="1:31" ht="18.75" customHeight="1" x14ac:dyDescent="0.2">
      <c r="B77" s="18">
        <v>1</v>
      </c>
      <c r="C77" s="17">
        <f>(G37)/100</f>
        <v>0</v>
      </c>
      <c r="F77" s="18">
        <v>0.84</v>
      </c>
      <c r="G77" s="17">
        <f>(H35)/100</f>
        <v>0</v>
      </c>
      <c r="J77" s="17">
        <v>1</v>
      </c>
      <c r="K77" s="17">
        <f>(F37)/100</f>
        <v>0</v>
      </c>
      <c r="S77" s="72"/>
    </row>
    <row r="78" spans="1:31" ht="14.25" customHeight="1" x14ac:dyDescent="0.2">
      <c r="S78" s="72"/>
    </row>
    <row r="79" spans="1:31" x14ac:dyDescent="0.2">
      <c r="A79" s="19"/>
      <c r="B79" s="19"/>
      <c r="C79" s="19"/>
      <c r="D79" s="19"/>
      <c r="E79" s="19"/>
      <c r="F79" s="19"/>
      <c r="G79" s="19"/>
      <c r="H79" s="19"/>
      <c r="K79" s="19"/>
      <c r="L79" s="19"/>
      <c r="M79" s="19"/>
      <c r="N79" s="19"/>
      <c r="S79" s="72"/>
    </row>
    <row r="80" spans="1:31" x14ac:dyDescent="0.2">
      <c r="A80" s="520" t="s">
        <v>143</v>
      </c>
      <c r="B80" s="520"/>
      <c r="C80" s="520"/>
      <c r="D80" s="520"/>
      <c r="E80" s="520"/>
      <c r="F80" s="520"/>
      <c r="G80" s="520"/>
      <c r="H80" s="520"/>
      <c r="I80" s="520"/>
      <c r="J80" s="520"/>
      <c r="K80" s="520"/>
      <c r="L80" s="520"/>
      <c r="M80" s="520"/>
      <c r="N80" s="520"/>
      <c r="O80" s="72"/>
      <c r="P80" s="72"/>
      <c r="Q80" s="72"/>
      <c r="R80" s="72"/>
      <c r="S80" s="72"/>
    </row>
    <row r="81" spans="1:18" ht="14.25" customHeight="1" x14ac:dyDescent="0.2">
      <c r="A81" s="524" t="s">
        <v>164</v>
      </c>
      <c r="B81" s="524"/>
      <c r="C81" s="524"/>
      <c r="D81" s="524"/>
      <c r="E81" s="524"/>
      <c r="F81" s="524"/>
      <c r="G81" s="524"/>
      <c r="H81" s="524"/>
      <c r="I81" s="524"/>
      <c r="J81" s="524"/>
      <c r="K81" s="524"/>
      <c r="L81" s="524"/>
      <c r="M81" s="524"/>
      <c r="N81" s="524"/>
      <c r="O81" s="72"/>
      <c r="P81" s="72"/>
      <c r="Q81" s="72"/>
      <c r="R81" s="72"/>
    </row>
    <row r="82" spans="1:18" x14ac:dyDescent="0.2">
      <c r="O82" s="72"/>
      <c r="P82" s="72"/>
      <c r="Q82" s="72"/>
      <c r="R82" s="72"/>
    </row>
    <row r="83" spans="1:18" x14ac:dyDescent="0.2">
      <c r="B83" s="520" t="s">
        <v>15</v>
      </c>
      <c r="C83" s="520"/>
      <c r="D83" s="520"/>
      <c r="E83" s="520"/>
      <c r="F83" s="520"/>
      <c r="G83" s="520"/>
      <c r="H83" s="520"/>
      <c r="I83" s="520"/>
      <c r="J83" s="520"/>
      <c r="K83" s="520"/>
      <c r="O83" s="72"/>
      <c r="P83" s="72"/>
      <c r="Q83" s="72"/>
      <c r="R83" s="72"/>
    </row>
    <row r="84" spans="1:18" ht="15" customHeight="1" x14ac:dyDescent="0.2">
      <c r="B84" s="1" t="s">
        <v>16</v>
      </c>
      <c r="M84" s="72"/>
      <c r="N84" s="72"/>
      <c r="O84" s="72"/>
      <c r="P84" s="72"/>
      <c r="Q84" s="72"/>
      <c r="R84" s="72"/>
    </row>
  </sheetData>
  <mergeCells count="193">
    <mergeCell ref="X42:Z42"/>
    <mergeCell ref="T1:V1"/>
    <mergeCell ref="P1:R1"/>
    <mergeCell ref="X1:Z1"/>
    <mergeCell ref="AB17:AD17"/>
    <mergeCell ref="T45:V45"/>
    <mergeCell ref="T46:V46"/>
    <mergeCell ref="AB1:AD1"/>
    <mergeCell ref="T17:V17"/>
    <mergeCell ref="T26:V26"/>
    <mergeCell ref="T30:V30"/>
    <mergeCell ref="P30:R30"/>
    <mergeCell ref="AB30:AD30"/>
    <mergeCell ref="AB29:AC29"/>
    <mergeCell ref="T43:U43"/>
    <mergeCell ref="P42:R42"/>
    <mergeCell ref="T42:V42"/>
    <mergeCell ref="P26:R26"/>
    <mergeCell ref="AB26:AD26"/>
    <mergeCell ref="M2:N2"/>
    <mergeCell ref="M10:N10"/>
    <mergeCell ref="A12:N13"/>
    <mergeCell ref="T13:V13"/>
    <mergeCell ref="P13:R13"/>
    <mergeCell ref="X13:Z13"/>
    <mergeCell ref="AB13:AD13"/>
    <mergeCell ref="AB5:AD5"/>
    <mergeCell ref="M6:N6"/>
    <mergeCell ref="M7:N8"/>
    <mergeCell ref="M9:N9"/>
    <mergeCell ref="T9:V9"/>
    <mergeCell ref="P9:R9"/>
    <mergeCell ref="X9:Z9"/>
    <mergeCell ref="AB9:AD9"/>
    <mergeCell ref="M4:N4"/>
    <mergeCell ref="X5:Z5"/>
    <mergeCell ref="A16:N16"/>
    <mergeCell ref="P17:R17"/>
    <mergeCell ref="B4:L5"/>
    <mergeCell ref="C6:K6"/>
    <mergeCell ref="C8:K9"/>
    <mergeCell ref="M5:N5"/>
    <mergeCell ref="T5:V5"/>
    <mergeCell ref="P5:R5"/>
    <mergeCell ref="A14:N14"/>
    <mergeCell ref="I18:J18"/>
    <mergeCell ref="K18:L18"/>
    <mergeCell ref="M18:N18"/>
    <mergeCell ref="F19:F20"/>
    <mergeCell ref="G19:G20"/>
    <mergeCell ref="H19:H20"/>
    <mergeCell ref="G25:G26"/>
    <mergeCell ref="H25:H26"/>
    <mergeCell ref="AB20:AC20"/>
    <mergeCell ref="T21:V21"/>
    <mergeCell ref="P21:R21"/>
    <mergeCell ref="AB21:AD21"/>
    <mergeCell ref="AB25:AC25"/>
    <mergeCell ref="M23:N23"/>
    <mergeCell ref="F21:F22"/>
    <mergeCell ref="H27:H28"/>
    <mergeCell ref="F25:F26"/>
    <mergeCell ref="M27:N27"/>
    <mergeCell ref="I28:J28"/>
    <mergeCell ref="K28:L28"/>
    <mergeCell ref="M28:N28"/>
    <mergeCell ref="M19:N19"/>
    <mergeCell ref="M20:N20"/>
    <mergeCell ref="D19:D20"/>
    <mergeCell ref="E19:E20"/>
    <mergeCell ref="D21:D22"/>
    <mergeCell ref="D23:D24"/>
    <mergeCell ref="E21:E22"/>
    <mergeCell ref="M21:N21"/>
    <mergeCell ref="B21:B22"/>
    <mergeCell ref="C21:C22"/>
    <mergeCell ref="I21:J21"/>
    <mergeCell ref="K21:L21"/>
    <mergeCell ref="A27:A28"/>
    <mergeCell ref="B27:B28"/>
    <mergeCell ref="C27:C28"/>
    <mergeCell ref="I27:J27"/>
    <mergeCell ref="K27:L27"/>
    <mergeCell ref="I24:J24"/>
    <mergeCell ref="G21:G22"/>
    <mergeCell ref="H21:H22"/>
    <mergeCell ref="E23:E24"/>
    <mergeCell ref="F23:F24"/>
    <mergeCell ref="G23:G24"/>
    <mergeCell ref="H23:H24"/>
    <mergeCell ref="I26:J26"/>
    <mergeCell ref="K26:L26"/>
    <mergeCell ref="D25:D26"/>
    <mergeCell ref="E25:E26"/>
    <mergeCell ref="D27:D28"/>
    <mergeCell ref="E27:E28"/>
    <mergeCell ref="F27:F28"/>
    <mergeCell ref="G27:G28"/>
    <mergeCell ref="A29:A30"/>
    <mergeCell ref="B29:B30"/>
    <mergeCell ref="C29:C30"/>
    <mergeCell ref="I29:J29"/>
    <mergeCell ref="K31:L31"/>
    <mergeCell ref="A19:A20"/>
    <mergeCell ref="B19:B20"/>
    <mergeCell ref="C19:C20"/>
    <mergeCell ref="I19:J19"/>
    <mergeCell ref="K19:L19"/>
    <mergeCell ref="A23:A24"/>
    <mergeCell ref="B23:B24"/>
    <mergeCell ref="C23:C24"/>
    <mergeCell ref="I23:J23"/>
    <mergeCell ref="K23:L23"/>
    <mergeCell ref="I20:J20"/>
    <mergeCell ref="K20:L20"/>
    <mergeCell ref="K24:L24"/>
    <mergeCell ref="A25:A26"/>
    <mergeCell ref="B25:B26"/>
    <mergeCell ref="C25:C26"/>
    <mergeCell ref="I25:J25"/>
    <mergeCell ref="K25:L25"/>
    <mergeCell ref="A21:A22"/>
    <mergeCell ref="K35:L36"/>
    <mergeCell ref="I35:J36"/>
    <mergeCell ref="C31:C32"/>
    <mergeCell ref="D31:D32"/>
    <mergeCell ref="E31:E32"/>
    <mergeCell ref="F31:F32"/>
    <mergeCell ref="G31:G32"/>
    <mergeCell ref="H31:H32"/>
    <mergeCell ref="D29:D30"/>
    <mergeCell ref="E29:E30"/>
    <mergeCell ref="F29:F30"/>
    <mergeCell ref="G29:G30"/>
    <mergeCell ref="H29:H30"/>
    <mergeCell ref="M34:N34"/>
    <mergeCell ref="M22:N22"/>
    <mergeCell ref="I22:J22"/>
    <mergeCell ref="K22:L22"/>
    <mergeCell ref="K29:L29"/>
    <mergeCell ref="M29:N29"/>
    <mergeCell ref="I30:J30"/>
    <mergeCell ref="K30:L30"/>
    <mergeCell ref="M30:N30"/>
    <mergeCell ref="I31:J31"/>
    <mergeCell ref="K32:L32"/>
    <mergeCell ref="M25:N25"/>
    <mergeCell ref="M26:N26"/>
    <mergeCell ref="M24:N24"/>
    <mergeCell ref="E39:M39"/>
    <mergeCell ref="B35:G36"/>
    <mergeCell ref="A39:C39"/>
    <mergeCell ref="F33:F34"/>
    <mergeCell ref="G33:G34"/>
    <mergeCell ref="A31:A32"/>
    <mergeCell ref="B31:B32"/>
    <mergeCell ref="A35:A36"/>
    <mergeCell ref="H35:H36"/>
    <mergeCell ref="A33:A34"/>
    <mergeCell ref="B33:B34"/>
    <mergeCell ref="C33:C34"/>
    <mergeCell ref="D33:D34"/>
    <mergeCell ref="E33:E34"/>
    <mergeCell ref="M32:N32"/>
    <mergeCell ref="M31:N31"/>
    <mergeCell ref="I32:J32"/>
    <mergeCell ref="H33:H34"/>
    <mergeCell ref="I33:J33"/>
    <mergeCell ref="I34:J34"/>
    <mergeCell ref="K33:L33"/>
    <mergeCell ref="K34:L34"/>
    <mergeCell ref="M35:N36"/>
    <mergeCell ref="M33:N33"/>
    <mergeCell ref="B83:K83"/>
    <mergeCell ref="H52:J53"/>
    <mergeCell ref="A81:N81"/>
    <mergeCell ref="A80:N80"/>
    <mergeCell ref="G48:G49"/>
    <mergeCell ref="X43:Y43"/>
    <mergeCell ref="G47:K47"/>
    <mergeCell ref="B62:K62"/>
    <mergeCell ref="E74:H74"/>
    <mergeCell ref="F75:G75"/>
    <mergeCell ref="A48:C48"/>
    <mergeCell ref="A58:L58"/>
    <mergeCell ref="A59:L59"/>
    <mergeCell ref="A60:L60"/>
    <mergeCell ref="J75:K75"/>
    <mergeCell ref="B75:C75"/>
    <mergeCell ref="K43:L43"/>
    <mergeCell ref="A56:L56"/>
    <mergeCell ref="F43:G43"/>
    <mergeCell ref="P43:Q43"/>
  </mergeCells>
  <pageMargins left="0.25" right="0.25" top="0.75" bottom="0.75" header="0.3" footer="0.3"/>
  <pageSetup paperSize="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Tonalá modi 2.0 </vt:lpstr>
      <vt:lpstr>Chapalita modi 2.0</vt:lpstr>
      <vt:lpstr>Loma modi 2.0</vt:lpstr>
      <vt:lpstr>Patria Modi</vt:lpstr>
      <vt:lpstr>Almacén A</vt:lpstr>
      <vt:lpstr>Muestrario</vt:lpstr>
      <vt:lpstr>Tonalá</vt:lpstr>
      <vt:lpstr>Chapalita</vt:lpstr>
      <vt:lpstr>Patria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mexab</dc:creator>
  <cp:lastModifiedBy>Carlos Giovanni Hernandez Hernandez</cp:lastModifiedBy>
  <cp:lastPrinted>2024-05-20T19:54:05Z</cp:lastPrinted>
  <dcterms:created xsi:type="dcterms:W3CDTF">2022-02-19T18:20:07Z</dcterms:created>
  <dcterms:modified xsi:type="dcterms:W3CDTF">2024-07-21T20:03:58Z</dcterms:modified>
</cp:coreProperties>
</file>